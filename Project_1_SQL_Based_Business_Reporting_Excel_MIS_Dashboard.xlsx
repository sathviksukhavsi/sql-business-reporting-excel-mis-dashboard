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17eb0812c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dbccba5e40949fc"/>
    <x:sheet xmlns:r="http://schemas.openxmlformats.org/officeDocument/2006/relationships" name="Data_Model" sheetId="2" r:id="Rd16347422b994481"/>
    <x:sheet xmlns:r="http://schemas.openxmlformats.org/officeDocument/2006/relationships" name="SQL_Schema" sheetId="3" r:id="R1c5f9af485a248ea"/>
    <x:sheet xmlns:r="http://schemas.openxmlformats.org/officeDocument/2006/relationships" name="SQL_Queries" sheetId="4" r:id="R75afa8b61cff4f72"/>
    <x:sheet xmlns:r="http://schemas.openxmlformats.org/officeDocument/2006/relationships" name="Customers" sheetId="5" r:id="R9bcd3af64a7642b3"/>
    <x:sheet xmlns:r="http://schemas.openxmlformats.org/officeDocument/2006/relationships" name="Products" sheetId="6" r:id="R52d33dd627724cb1"/>
    <x:sheet xmlns:r="http://schemas.openxmlformats.org/officeDocument/2006/relationships" name="Sales_Reps" sheetId="7" r:id="R97f748ab3c454e40"/>
    <x:sheet xmlns:r="http://schemas.openxmlformats.org/officeDocument/2006/relationships" name="Orders" sheetId="8" r:id="Rb14e7a35189d4605"/>
    <x:sheet xmlns:r="http://schemas.openxmlformats.org/officeDocument/2006/relationships" name="Order_Items" sheetId="9" r:id="R06603ef978b44aa8"/>
    <x:sheet xmlns:r="http://schemas.openxmlformats.org/officeDocument/2006/relationships" name="Returns" sheetId="10" r:id="Rb94bc684891147ff"/>
    <x:sheet xmlns:r="http://schemas.openxmlformats.org/officeDocument/2006/relationships" name="Payments" sheetId="11" r:id="Redc5d59ed7ce4921"/>
    <x:sheet xmlns:r="http://schemas.openxmlformats.org/officeDocument/2006/relationships" name="SQL_Output_KPIs" sheetId="12" r:id="Rfa04178ae3d0450c"/>
    <x:sheet xmlns:r="http://schemas.openxmlformats.org/officeDocument/2006/relationships" name="SQL_Output_Monthly" sheetId="13" r:id="R26582c981f9142c7"/>
    <x:sheet xmlns:r="http://schemas.openxmlformats.org/officeDocument/2006/relationships" name="SQL_Output_Region" sheetId="14" r:id="Raed218773fec489c"/>
    <x:sheet xmlns:r="http://schemas.openxmlformats.org/officeDocument/2006/relationships" name="SQL_Output_Product" sheetId="15" r:id="R612b11599b9b4719"/>
    <x:sheet xmlns:r="http://schemas.openxmlformats.org/officeDocument/2006/relationships" name="Data_Quality_Checks" sheetId="16" r:id="R4316b012fb8b483e"/>
    <x:sheet xmlns:r="http://schemas.openxmlformats.org/officeDocument/2006/relationships" name="Dashboard" sheetId="17" r:id="R1a3a952786a8466a"/>
    <x:sheet xmlns:r="http://schemas.openxmlformats.org/officeDocument/2006/relationships" name="Interview_Notes" sheetId="18" r:id="R80dd8fcf9c5a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₹#,##0"/>
    <x:numFmt numFmtId="201" formatCode="0.0%"/>
    <x:numFmt numFmtId="202" formatCode="mmm-yy"/>
    <x:numFmt numFmtId="203" formatCode="yyyy-mm-dd"/>
    <x:numFmt numFmtId="204" formatCode="₹#,##0.00"/>
    <x:numFmt numFmtId="205" formatCode="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4" fontId="3" fillId="4" borderId="0" xfId="0" applyNumberFormat="1" applyFont="1" applyFill="1" applyBorder="1" applyAlignment="1">
      <x:alignment horizontal="center" vertical="center" wrapText="1"/>
    </x:xf>
    <x:xf numFmtId="204" fontId="3" fillId="4" borderId="1" xfId="0" applyNumberFormat="1" applyFont="1" applyFill="1" applyBorder="1" applyAlignment="1">
      <x:alignment horizontal="center" vertical="center" wrapText="1"/>
    </x:xf>
    <x:xf numFmtId="205" fontId="3" fillId="4" borderId="0" xfId="0" applyNumberFormat="1" applyFont="1" applyFill="1" applyBorder="1" applyAlignment="1">
      <x:alignment horizontal="center" vertical="center" wrapText="1"/>
    </x:xf>
    <x:xf numFmtId="205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b2a105357473c" /><Relationship Type="http://schemas.openxmlformats.org/officeDocument/2006/relationships/theme" Target="/xl/theme/theme1.xml" Id="R8dd0abcc0a7341c5" /><Relationship Type="http://schemas.openxmlformats.org/officeDocument/2006/relationships/sharedStrings" Target="/xl/sharedStrings.xml" Id="R0648ff6ea49d4004" /><Relationship Type="http://schemas.openxmlformats.org/officeDocument/2006/relationships/worksheet" Target="/xl/worksheets/sheet1.xml" Id="R6dbccba5e40949fc" /><Relationship Type="http://schemas.openxmlformats.org/officeDocument/2006/relationships/worksheet" Target="/xl/worksheets/sheet2.xml" Id="Rd16347422b994481" /><Relationship Type="http://schemas.openxmlformats.org/officeDocument/2006/relationships/worksheet" Target="/xl/worksheets/sheet3.xml" Id="R1c5f9af485a248ea" /><Relationship Type="http://schemas.openxmlformats.org/officeDocument/2006/relationships/worksheet" Target="/xl/worksheets/sheet4.xml" Id="R75afa8b61cff4f72" /><Relationship Type="http://schemas.openxmlformats.org/officeDocument/2006/relationships/worksheet" Target="/xl/worksheets/sheet5.xml" Id="R9bcd3af64a7642b3" /><Relationship Type="http://schemas.openxmlformats.org/officeDocument/2006/relationships/worksheet" Target="/xl/worksheets/sheet6.xml" Id="R52d33dd627724cb1" /><Relationship Type="http://schemas.openxmlformats.org/officeDocument/2006/relationships/worksheet" Target="/xl/worksheets/sheet7.xml" Id="R97f748ab3c454e40" /><Relationship Type="http://schemas.openxmlformats.org/officeDocument/2006/relationships/worksheet" Target="/xl/worksheets/sheet8.xml" Id="Rb14e7a35189d4605" /><Relationship Type="http://schemas.openxmlformats.org/officeDocument/2006/relationships/worksheet" Target="/xl/worksheets/sheet9.xml" Id="R06603ef978b44aa8" /><Relationship Type="http://schemas.openxmlformats.org/officeDocument/2006/relationships/worksheet" Target="/xl/worksheets/sheet10.xml" Id="Rb94bc684891147ff" /><Relationship Type="http://schemas.openxmlformats.org/officeDocument/2006/relationships/worksheet" Target="/xl/worksheets/sheet11.xml" Id="Redc5d59ed7ce4921" /><Relationship Type="http://schemas.openxmlformats.org/officeDocument/2006/relationships/worksheet" Target="/xl/worksheets/sheet12.xml" Id="Rfa04178ae3d0450c" /><Relationship Type="http://schemas.openxmlformats.org/officeDocument/2006/relationships/worksheet" Target="/xl/worksheets/sheet13.xml" Id="R26582c981f9142c7" /><Relationship Type="http://schemas.openxmlformats.org/officeDocument/2006/relationships/worksheet" Target="/xl/worksheets/sheet14.xml" Id="Raed218773fec489c" /><Relationship Type="http://schemas.openxmlformats.org/officeDocument/2006/relationships/worksheet" Target="/xl/worksheets/sheet15.xml" Id="R612b11599b9b4719" /><Relationship Type="http://schemas.openxmlformats.org/officeDocument/2006/relationships/worksheet" Target="/xl/worksheets/sheet16.xml" Id="R4316b012fb8b483e" /><Relationship Type="http://schemas.openxmlformats.org/officeDocument/2006/relationships/worksheet" Target="/xl/worksheets/sheet17.xml" Id="R1a3a952786a8466a" /><Relationship Type="http://schemas.openxmlformats.org/officeDocument/2006/relationships/worksheet" Target="/xl/worksheets/sheet18.xml" Id="R80dd8fcf9c5a41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1a1e473bfc416e" /><Relationship Type="http://schemas.openxmlformats.org/officeDocument/2006/relationships/chart" Target="/xl/drawings/charts/chart2.xml" Id="Rbedd92c6cba349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'Dashboard'!$A$7:$A$10</c:f>
              <c:strCache>
                <c:ptCount val="0"/>
              </c:strCache>
            </c:strRef>
          </c:cat>
          <c:val>
            <c:numRef>
              <c:f>'Dashboard'!$B$7:$B$10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Units</c:v>
          </c:tx>
          <c:cat>
            <c:strRef>
              <c:f>'Dashboard'!$F$7:$F$10</c:f>
              <c:strCache>
                <c:ptCount val="0"/>
              </c:strCache>
            </c:strRef>
          </c:cat>
          <c:val>
            <c:numRef>
              <c:f>'Dashboard'!$G$7:$G$10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'Dashboard'!$F$7:$F$10</c:f>
              <c:strCache>
                <c:ptCount val="0"/>
              </c:strCache>
            </c:strRef>
          </c:cat>
          <c:val>
            <c:numRef>
              <c:f>'Dashboard'!$H$7:$H$10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1a1e473bfc416e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dd92c6cba349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8" name="SQLQueriesTable" displayName="SQLQueriesTable" ref="A1:C6" headerRowCount="1">
  <x:tableColumns count="3">
    <x:tableColumn id="1" name="Query Name"/>
    <x:tableColumn id="2" name="Business Question"/>
    <x:tableColumn id="3" name="SQL Query"/>
  </x:tableColumns>
  <x:tableStyleInfo name="TableStyleMedium2" showRowStripes="1"/>
</x:table>
</file>

<file path=xl/tables/table2.xml><?xml version="1.0" encoding="utf-8"?>
<x:table xmlns:x="http://schemas.openxmlformats.org/spreadsheetml/2006/main" id="1" name="CustomersTable" displayName="CustomersTable" ref="A1:G101" headerRowCount="1">
  <x:tableColumns count="7">
    <x:tableColumn id="1" name="customer_id"/>
    <x:tableColumn id="2" name="customer_name"/>
    <x:tableColumn id="3" name="segment"/>
    <x:tableColumn id="4" name="region"/>
    <x:tableColumn id="5" name="city"/>
    <x:tableColumn id="6" name="status"/>
    <x:tableColumn id="7" name="signup_date"/>
  </x:tableColumns>
  <x:tableStyleInfo name="TableStyleMedium2" showRowStripes="1"/>
</x:table>
</file>

<file path=xl/tables/table3.xml><?xml version="1.0" encoding="utf-8"?>
<x:table xmlns:x="http://schemas.openxmlformats.org/spreadsheetml/2006/main" id="2" name="ProductsTable" displayName="ProductsTable" ref="A1:G41" headerRowCount="1">
  <x:tableColumns count="7">
    <x:tableColumn id="1" name="product_id"/>
    <x:tableColumn id="2" name="product_name"/>
    <x:tableColumn id="3" name="category"/>
    <x:tableColumn id="4" name="unit_cost"/>
    <x:tableColumn id="5" name="unit_price"/>
    <x:tableColumn id="6" name="tier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3" name="SalesRepsTable" displayName="SalesRepsTable" ref="A1:E17" headerRowCount="1">
  <x:tableColumns count="5">
    <x:tableColumn id="1" name="rep_id"/>
    <x:tableColumn id="2" name="rep_name"/>
    <x:tableColumn id="3" name="region"/>
    <x:tableColumn id="4" name="level"/>
    <x:tableColumn id="5" name="annual_target"/>
  </x:tableColumns>
  <x:tableStyleInfo name="TableStyleMedium2" showRowStripes="1"/>
</x:table>
</file>

<file path=xl/tables/table5.xml><?xml version="1.0" encoding="utf-8"?>
<x:table xmlns:x="http://schemas.openxmlformats.org/spreadsheetml/2006/main" id="4" name="OrdersTable" displayName="OrdersTable" ref="A1:H501" headerRowCount="1">
  <x:tableColumns count="8">
    <x:tableColumn id="1" name="order_id"/>
    <x:tableColumn id="2" name="order_date"/>
    <x:tableColumn id="3" name="customer_id"/>
    <x:tableColumn id="4" name="rep_id"/>
    <x:tableColumn id="5" name="region"/>
    <x:tableColumn id="6" name="city"/>
    <x:tableColumn id="7" name="order_status"/>
    <x:tableColumn id="8" name="channel"/>
  </x:tableColumns>
  <x:tableStyleInfo name="TableStyleMedium2" showRowStripes="1"/>
</x:table>
</file>

<file path=xl/tables/table6.xml><?xml version="1.0" encoding="utf-8"?>
<x:table xmlns:x="http://schemas.openxmlformats.org/spreadsheetml/2006/main" id="5" name="OrderItemsTable" displayName="OrderItemsTable" ref="A1:J1238" headerRowCount="1">
  <x:tableColumns count="10">
    <x:tableColumn id="1" name="item_id"/>
    <x:tableColumn id="2" name="order_id"/>
    <x:tableColumn id="3" name="product_id"/>
    <x:tableColumn id="4" name="quantity"/>
    <x:tableColumn id="5" name="unit_price"/>
    <x:tableColumn id="6" name="discount_pct"/>
    <x:tableColumn id="7" name="gross_sales"/>
    <x:tableColumn id="8" name="net_sales"/>
    <x:tableColumn id="9" name="cost_amount"/>
    <x:tableColumn id="10" name="profit"/>
  </x:tableColumns>
  <x:tableStyleInfo name="TableStyleMedium2" showRowStripes="1"/>
</x:table>
</file>

<file path=xl/tables/table7.xml><?xml version="1.0" encoding="utf-8"?>
<x:table xmlns:x="http://schemas.openxmlformats.org/spreadsheetml/2006/main" id="6" name="ReturnsTable" displayName="ReturnsTable" ref="A1:F35" headerRowCount="1">
  <x:tableColumns count="6">
    <x:tableColumn id="1" name="return_id"/>
    <x:tableColumn id="2" name="order_id"/>
    <x:tableColumn id="3" name="return_date"/>
    <x:tableColumn id="4" name="reason"/>
    <x:tableColumn id="5" name="return_amount"/>
    <x:tableColumn id="6" name="approval_status"/>
  </x:tableColumns>
  <x:tableStyleInfo name="TableStyleMedium2" showRowStripes="1"/>
</x:table>
</file>

<file path=xl/tables/table8.xml><?xml version="1.0" encoding="utf-8"?>
<x:table xmlns:x="http://schemas.openxmlformats.org/spreadsheetml/2006/main" id="7" name="PaymentsTable" displayName="PaymentsTable" ref="A1:E501" headerRowCount="1">
  <x:tableColumns count="5">
    <x:tableColumn id="1" name="payment_id"/>
    <x:tableColumn id="2" name="order_id"/>
    <x:tableColumn id="3" name="payment_date"/>
    <x:tableColumn id="4" name="amount_paid"/>
    <x:tableColumn id="5" name="payment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d3705c95cbb4b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b6b7ead28b449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d341b6d12ca44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f33be4285ce4d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6fb89e7503445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0d7529ccf8504a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3324e280a9242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556a8cc994c4bf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7096ec20a335422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4" t="str">
        <x:v>Project 1: SQL-Based Business Reporting &amp; Excel MIS Dashboard</x:v>
      </x:c>
    </x:row>
    <x:row r="3">
      <x:c r="A3" s="14" t="str">
        <x:v>Project Objective</x:v>
      </x:c>
      <x:c r="B3" s="15" t="str">
        <x:v>Build a database-style business reporting system where SQL extracts KPIs and Excel presents MIS dashboard outputs.</x:v>
      </x:c>
    </x:row>
    <x:row r="4">
      <x:c r="A4" s="14" t="str">
        <x:v>Business Context</x:v>
      </x:c>
      <x:c r="B4" s="15" t="str">
        <x:v>A retail/distribution company wants monthly, regional, product, customer and sales-rep performance reports.</x:v>
      </x:c>
    </x:row>
    <x:row r="5">
      <x:c r="A5" s="14" t="str">
        <x:v>How SQL is used</x:v>
      </x:c>
      <x:c r="B5" s="15" t="str">
        <x:v>SQL schema and queries are documented in SQL_Schema and SQL_Queries. SQL_Output sheets show expected query outputs.</x:v>
      </x:c>
    </x:row>
    <x:row r="6">
      <x:c r="A6" s="14" t="str">
        <x:v>How Excel is used</x:v>
      </x:c>
      <x:c r="B6" s="15" t="str">
        <x:v>Excel stores sample data, recreates SQL outputs with formulas, validates data quality, and presents the dashboard.</x:v>
      </x:c>
    </x:row>
    <x:row r="7">
      <x:c r="A7" s="14" t="str">
        <x:v>Recommended real workflow</x:v>
      </x:c>
      <x:c r="B7" s="15" t="str">
        <x:v>PostgreSQL/MySQL/SQLite database → SQL queries → exported CSV/Excel outputs → Excel dashboard or Power BI.</x:v>
      </x:c>
    </x:row>
    <x:row r="8">
      <x:c r="A8" s="14" t="str">
        <x:v>Tools Demonstrated</x:v>
      </x:c>
      <x:c r="B8" s="15" t="str">
        <x:v>SQL, Excel formulas, dashboarding, data quality checks, KPI reporting, business analysis.</x:v>
      </x:c>
    </x:row>
    <x:row r="9">
      <x:c r="A9" s="14" t="str">
        <x:v>Tables Included</x:v>
      </x:c>
      <x:c r="B9" s="15" t="str">
        <x:v>Customers, Products, Sales_Reps, Orders, Order_Items, Returns, Payments.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Database-style Data Model / Relationships</x:v>
      </x:c>
    </x:row>
    <x:row r="3">
      <x:c r="A3" s="22" t="str">
        <x:v>Table</x:v>
      </x:c>
      <x:c r="B3" s="22" t="str">
        <x:v>Primary Key</x:v>
      </x:c>
      <x:c r="C3" s="22" t="str">
        <x:v>Foreign Keys</x:v>
      </x:c>
      <x:c r="D3" s="22" t="str">
        <x:v>Purpose</x:v>
      </x:c>
      <x:c r="E3" s="22" t="str">
        <x:v>Example SQL Join</x:v>
      </x:c>
    </x:row>
    <x:row r="4">
      <x:c r="A4" s="15" t="str">
        <x:v>Customers</x:v>
      </x:c>
      <x:c r="B4" s="15" t="str">
        <x:v>customer_id</x:v>
      </x:c>
      <x:c r="C4" s="15" t="str">
        <x:v>-</x:v>
      </x:c>
      <x:c r="D4" s="15" t="str">
        <x:v>Customer master table</x:v>
      </x:c>
      <x:c r="E4" s="15" t="str">
        <x:v>Orders.customer_id = Customers.customer_id</x:v>
      </x:c>
    </x:row>
    <x:row r="5">
      <x:c r="A5" s="15" t="str">
        <x:v>Products</x:v>
      </x:c>
      <x:c r="B5" s="15" t="str">
        <x:v>product_id</x:v>
      </x:c>
      <x:c r="C5" s="15" t="str">
        <x:v>-</x:v>
      </x:c>
      <x:c r="D5" s="15" t="str">
        <x:v>Product master table</x:v>
      </x:c>
      <x:c r="E5" s="15" t="str">
        <x:v>Order_Items.product_id = Products.product_id</x:v>
      </x:c>
    </x:row>
    <x:row r="6">
      <x:c r="A6" s="15" t="str">
        <x:v>Sales_Reps</x:v>
      </x:c>
      <x:c r="B6" s="15" t="str">
        <x:v>rep_id</x:v>
      </x:c>
      <x:c r="C6" s="15" t="str">
        <x:v>-</x:v>
      </x:c>
      <x:c r="D6" s="15" t="str">
        <x:v>Sales representative master</x:v>
      </x:c>
      <x:c r="E6" s="15" t="str">
        <x:v>Orders.rep_id = Sales_Reps.rep_id</x:v>
      </x:c>
    </x:row>
    <x:row r="7">
      <x:c r="A7" s="15" t="str">
        <x:v>Orders</x:v>
      </x:c>
      <x:c r="B7" s="15" t="str">
        <x:v>order_id</x:v>
      </x:c>
      <x:c r="C7" s="15" t="str">
        <x:v>customer_id, rep_id</x:v>
      </x:c>
      <x:c r="D7" s="15" t="str">
        <x:v>Order header details</x:v>
      </x:c>
      <x:c r="E7" s="15" t="str">
        <x:v>Orders.order_id = Order_Items.order_id</x:v>
      </x:c>
    </x:row>
    <x:row r="8">
      <x:c r="A8" s="15" t="str">
        <x:v>Order_Items</x:v>
      </x:c>
      <x:c r="B8" s="15" t="str">
        <x:v>item_id</x:v>
      </x:c>
      <x:c r="C8" s="15" t="str">
        <x:v>order_id, product_id</x:v>
      </x:c>
      <x:c r="D8" s="15" t="str">
        <x:v>Line-item sales facts</x:v>
      </x:c>
      <x:c r="E8" s="15" t="str">
        <x:v>Order_Items.product_id = Products.product_id</x:v>
      </x:c>
    </x:row>
    <x:row r="9">
      <x:c r="A9" s="15" t="str">
        <x:v>Returns</x:v>
      </x:c>
      <x:c r="B9" s="15" t="str">
        <x:v>return_id</x:v>
      </x:c>
      <x:c r="C9" s="15" t="str">
        <x:v>order_id</x:v>
      </x:c>
      <x:c r="D9" s="15" t="str">
        <x:v>Return transactions</x:v>
      </x:c>
      <x:c r="E9" s="15" t="str">
        <x:v>Returns.order_id = Orders.order_id</x:v>
      </x:c>
    </x:row>
    <x:row r="10">
      <x:c r="A10" s="15" t="str">
        <x:v>Payments</x:v>
      </x:c>
      <x:c r="B10" s="15" t="str">
        <x:v>payment_id</x:v>
      </x:c>
      <x:c r="C10" s="15" t="str">
        <x:v>order_id</x:v>
      </x:c>
      <x:c r="D10" s="15" t="str">
        <x:v>Payment collection status</x:v>
      </x:c>
      <x:c r="E10" s="15" t="str">
        <x:v>Payments.order_id = Orders.order_id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" t="str">
        <x:v>SQL Schema Reference</x:v>
      </x:c>
    </x:row>
    <x:row r="3">
      <x:c r="A3" s="15" t="str">
        <x:v>SQL Schema</x:v>
      </x:c>
    </x:row>
    <x:row r="4">
      <x:c r="A4" s="15" t="str">
        <x:v>CREATE TABLE customers (customer_id VARCHAR(10) PRIMARY KEY, customer_name VARCHAR(100), segment VARCHAR(30), region VARCHAR(20), city VARCHAR(40), status VARCHAR(20), signup_date DATE);</x:v>
      </x:c>
    </x:row>
    <x:row r="5">
      <x:c r="A5" s="15" t="str">
        <x:v>CREATE TABLE products (product_id VARCHAR(10) PRIMARY KEY, product_name VARCHAR(100), category VARCHAR(40), unit_cost DECIMAL(12,2), unit_price DECIMAL(12,2), tier VARCHAR(30), status VARCHAR(20));</x:v>
      </x:c>
    </x:row>
    <x:row r="6">
      <x:c r="A6" s="15" t="str">
        <x:v>CREATE TABLE sales_reps (rep_id VARCHAR(10) PRIMARY KEY, rep_name VARCHAR(100), region VARCHAR(20), level VARCHAR(30), annual_target DECIMAL(14,2));</x:v>
      </x:c>
    </x:row>
    <x:row r="7">
      <x:c r="A7" s="15" t="str">
        <x:v>CREATE TABLE orders (order_id VARCHAR(12) PRIMARY KEY, order_date DATE, customer_id VARCHAR(10), rep_id VARCHAR(10), region VARCHAR(20), city VARCHAR(40), order_status VARCHAR(20), channel VARCHAR(30));</x:v>
      </x:c>
    </x:row>
    <x:row r="8">
      <x:c r="A8" s="15" t="str">
        <x:v>CREATE TABLE order_items (item_id VARCHAR(20) PRIMARY KEY, order_id VARCHAR(12), product_id VARCHAR(10), quantity INT, unit_price DECIMAL(12,2), discount_pct DECIMAL(5,2), gross_sales DECIMAL(14,2), net_sales DECIMAL(14,2), cost_amount DECIMAL(14,2), profit DECIMAL(14,2));</x:v>
      </x:c>
    </x:row>
    <x:row r="9">
      <x:c r="A9" s="15" t="str">
        <x:v>CREATE TABLE returns (return_id VARCHAR(12) PRIMARY KEY, order_id VARCHAR(12), return_date DATE, reason VARCHAR(50), return_amount DECIMAL(14,2), approval_status VARCHAR(20));</x:v>
      </x:c>
    </x:row>
    <x:row r="10">
      <x:c r="A10" s="15" t="str">
        <x:v>CREATE TABLE payments (payment_id VARCHAR(12) PRIMARY KEY, order_id VARCHAR(12), payment_date DATE, amount_paid DECIMAL(14,2), payment_status VARCHAR(20));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110" hidden="0" customWidth="1"/>
  </x:cols>
  <x:sheetData>
    <x:row r="1">
      <x:c r="A1" s="22" t="str">
        <x:v>Query Name</x:v>
      </x:c>
      <x:c r="B1" s="22" t="str">
        <x:v>Business Question</x:v>
      </x:c>
      <x:c r="C1" s="22" t="str">
        <x:v>SQL Query</x:v>
      </x:c>
    </x:row>
    <x:row r="2">
      <x:c r="A2" t="str">
        <x:v>Total KPI Summary</x:v>
      </x:c>
      <x:c r="B2" t="str">
        <x:v>What is revenue, profit, margin, orders, returns and collection?</x:v>
      </x:c>
      <x:c r="C2" t="str">
        <x:v>SELECT SUM(oi.net_sales) revenue, SUM(oi.profit) profit, SUM(oi.profit)/NULLIF(SUM(oi.net_sales),0) margin_pct, COUNT(DISTINCT o.order_id) orders FROM orders o JOIN order_items oi ON o.order_id=oi.order_id WHERE o.order_status='Delivered';</x:v>
      </x:c>
    </x:row>
    <x:row r="3">
      <x:c r="A3" t="str">
        <x:v>Monthly Sales Trend</x:v>
      </x:c>
      <x:c r="B3" t="str">
        <x:v>How is revenue moving month by month?</x:v>
      </x:c>
      <x:c r="C3" t="str">
        <x:v>SELECT DATE_TRUNC('month', o.order_date) month, SUM(oi.net_sales) revenue, SUM(oi.profit) profit FROM orders o JOIN order_items oi ON o.order_id=oi.order_id WHERE o.order_status='Delivered' GROUP BY 1 ORDER BY 1;</x:v>
      </x:c>
    </x:row>
    <x:row r="4">
      <x:c r="A4" t="str">
        <x:v>Region Performance</x:v>
      </x:c>
      <x:c r="B4" t="str">
        <x:v>Which region contributes most revenue and profit?</x:v>
      </x:c>
      <x:c r="C4" t="str">
        <x:v>SELECT o.region, SUM(oi.net_sales) revenue, SUM(oi.profit) profit, SUM(oi.profit)/NULLIF(SUM(oi.net_sales),0) margin_pct FROM orders o JOIN order_items oi ON o.order_id=oi.order_id WHERE o.order_status='Delivered' GROUP BY o.region ORDER BY revenue DESC;</x:v>
      </x:c>
    </x:row>
    <x:row r="5">
      <x:c r="A5" t="str">
        <x:v>Product Ranking</x:v>
      </x:c>
      <x:c r="B5" t="str">
        <x:v>Which products are top performers?</x:v>
      </x:c>
      <x:c r="C5" t="str">
        <x:v>SELECT p.category, p.product_name, SUM(oi.quantity) units, SUM(oi.net_sales) revenue, SUM(oi.profit) profit, RANK() OVER (ORDER BY SUM(oi.net_sales) DESC) revenue_rank FROM order_items oi JOIN products p ON oi.product_id=p.product_id JOIN orders o ON oi.order_id=o.order_id WHERE o.order_status='Delivered' GROUP BY p.category, p.product_name;</x:v>
      </x:c>
    </x:row>
    <x:row r="6">
      <x:c r="A6" t="str">
        <x:v>Data Quality</x:v>
      </x:c>
      <x:c r="B6" t="str">
        <x:v>Are there missing/duplicate/invalid records?</x:v>
      </x:c>
      <x:c r="C6" t="str">
        <x:v>SELECT order_id, COUNT(*) FROM orders GROUP BY order_id HAVING COUNT(*) &gt; 1; -- duplicate order check</x:v>
      </x:c>
    </x:row>
  </x:sheetData>
  <x:pageMargins left="0.7" right="0.7" top="0.75" bottom="0.75" header="0.3" footer="0.3"/>
  <x:tableParts count="1">
    <x:tablePart xmlns:r="http://schemas.openxmlformats.org/officeDocument/2006/relationships" r:id="R0d3705c95cbb4b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5.380000114440918" hidden="0" customWidth="1"/>
    <x:col min="3" max="3" width="9.630000114440918" hidden="0" customWidth="1"/>
    <x:col min="4" max="4" width="7.880000114440918" hidden="0" customWidth="1"/>
    <x:col min="5" max="5" width="10.75" hidden="0" customWidth="1"/>
    <x:col min="6" max="6" width="7.630000114440918" hidden="0" customWidth="1"/>
    <x:col min="7" max="7" width="12.380000114440918" hidden="0" customWidth="1"/>
  </x:cols>
  <x:sheetData>
    <x:row r="1">
      <x:c r="A1" s="22" t="str">
        <x:v>customer_id</x:v>
      </x:c>
      <x:c r="B1" s="22" t="str">
        <x:v>customer_name</x:v>
      </x:c>
      <x:c r="C1" s="22" t="str">
        <x:v>segment</x:v>
      </x:c>
      <x:c r="D1" s="22" t="str">
        <x:v>region</x:v>
      </x:c>
      <x:c r="E1" s="22" t="str">
        <x:v>city</x:v>
      </x:c>
      <x:c r="F1" s="22" t="str">
        <x:v>status</x:v>
      </x:c>
      <x:c r="G1" s="38" t="str">
        <x:v>signup_date</x:v>
      </x:c>
    </x:row>
    <x:row r="2">
      <x:c r="A2" s="15" t="str">
        <x:v>CUST0001</x:v>
      </x:c>
      <x:c r="B2" s="15" t="str">
        <x:v>Customer 001</x:v>
      </x:c>
      <x:c r="C2" s="15" t="str">
        <x:v>SMB</x:v>
      </x:c>
      <x:c r="D2" s="15" t="str">
        <x:v>West</x:v>
      </x:c>
      <x:c r="E2" s="15" t="str">
        <x:v>Pune</x:v>
      </x:c>
      <x:c r="F2" s="15" t="str">
        <x:v>Active</x:v>
      </x:c>
      <x:c r="G2" s="15" t="n">
        <x:v>45489</x:v>
      </x:c>
    </x:row>
    <x:row r="3">
      <x:c r="A3" s="15" t="str">
        <x:v>CUST0002</x:v>
      </x:c>
      <x:c r="B3" s="15" t="str">
        <x:v>Customer 002</x:v>
      </x:c>
      <x:c r="C3" s="15" t="str">
        <x:v>Retail</x:v>
      </x:c>
      <x:c r="D3" s="15" t="str">
        <x:v>South</x:v>
      </x:c>
      <x:c r="E3" s="15" t="str">
        <x:v>Hyderabad</x:v>
      </x:c>
      <x:c r="F3" s="15" t="str">
        <x:v>Active</x:v>
      </x:c>
      <x:c r="G3" s="15" t="n">
        <x:v>45810</x:v>
      </x:c>
    </x:row>
    <x:row r="4">
      <x:c r="A4" s="15" t="str">
        <x:v>CUST0003</x:v>
      </x:c>
      <x:c r="B4" s="15" t="str">
        <x:v>Customer 003</x:v>
      </x:c>
      <x:c r="C4" s="15" t="str">
        <x:v>Enterprise</x:v>
      </x:c>
      <x:c r="D4" s="15" t="str">
        <x:v>West</x:v>
      </x:c>
      <x:c r="E4" s="15" t="str">
        <x:v>Ahmedabad</x:v>
      </x:c>
      <x:c r="F4" s="15" t="str">
        <x:v>Active</x:v>
      </x:c>
      <x:c r="G4" s="15" t="n">
        <x:v>45762</x:v>
      </x:c>
    </x:row>
    <x:row r="5">
      <x:c r="A5" s="15" t="str">
        <x:v>CUST0004</x:v>
      </x:c>
      <x:c r="B5" s="15" t="str">
        <x:v>Customer 004</x:v>
      </x:c>
      <x:c r="C5" s="15" t="str">
        <x:v>Enterprise</x:v>
      </x:c>
      <x:c r="D5" s="15" t="str">
        <x:v>East</x:v>
      </x:c>
      <x:c r="E5" s="15" t="str">
        <x:v>Bhubaneswar</x:v>
      </x:c>
      <x:c r="F5" s="15" t="str">
        <x:v>Inactive</x:v>
      </x:c>
      <x:c r="G5" s="15" t="n">
        <x:v>45878</x:v>
      </x:c>
    </x:row>
    <x:row r="6">
      <x:c r="A6" s="15" t="str">
        <x:v>CUST0005</x:v>
      </x:c>
      <x:c r="B6" s="15" t="str">
        <x:v>Customer 005</x:v>
      </x:c>
      <x:c r="C6" s="15" t="str">
        <x:v>Enterprise</x:v>
      </x:c>
      <x:c r="D6" s="15" t="str">
        <x:v>West</x:v>
      </x:c>
      <x:c r="E6" s="15" t="str">
        <x:v>Mumbai</x:v>
      </x:c>
      <x:c r="F6" s="15" t="str">
        <x:v>Inactive</x:v>
      </x:c>
      <x:c r="G6" s="15" t="n">
        <x:v>45531</x:v>
      </x:c>
    </x:row>
    <x:row r="7">
      <x:c r="A7" s="15" t="str">
        <x:v>CUST0006</x:v>
      </x:c>
      <x:c r="B7" s="15" t="str">
        <x:v>Customer 006</x:v>
      </x:c>
      <x:c r="C7" s="15" t="str">
        <x:v>SMB</x:v>
      </x:c>
      <x:c r="D7" s="15" t="str">
        <x:v>South</x:v>
      </x:c>
      <x:c r="E7" s="15" t="str">
        <x:v>Chennai</x:v>
      </x:c>
      <x:c r="F7" s="15" t="str">
        <x:v>Inactive</x:v>
      </x:c>
      <x:c r="G7" s="15" t="n">
        <x:v>45777</x:v>
      </x:c>
    </x:row>
    <x:row r="8">
      <x:c r="A8" s="15" t="str">
        <x:v>CUST0007</x:v>
      </x:c>
      <x:c r="B8" s="15" t="str">
        <x:v>Customer 007</x:v>
      </x:c>
      <x:c r="C8" s="15" t="str">
        <x:v>Retail</x:v>
      </x:c>
      <x:c r="D8" s="15" t="str">
        <x:v>East</x:v>
      </x:c>
      <x:c r="E8" s="15" t="str">
        <x:v>Guwahati</x:v>
      </x:c>
      <x:c r="F8" s="15" t="str">
        <x:v>Active</x:v>
      </x:c>
      <x:c r="G8" s="15" t="n">
        <x:v>45391</x:v>
      </x:c>
    </x:row>
    <x:row r="9">
      <x:c r="A9" s="15" t="str">
        <x:v>CUST0008</x:v>
      </x:c>
      <x:c r="B9" s="15" t="str">
        <x:v>Customer 008</x:v>
      </x:c>
      <x:c r="C9" s="15" t="str">
        <x:v>Enterprise</x:v>
      </x:c>
      <x:c r="D9" s="15" t="str">
        <x:v>South</x:v>
      </x:c>
      <x:c r="E9" s="15" t="str">
        <x:v>Chennai</x:v>
      </x:c>
      <x:c r="F9" s="15" t="str">
        <x:v>Inactive</x:v>
      </x:c>
      <x:c r="G9" s="15" t="n">
        <x:v>45402</x:v>
      </x:c>
    </x:row>
    <x:row r="10">
      <x:c r="A10" s="15" t="str">
        <x:v>CUST0009</x:v>
      </x:c>
      <x:c r="B10" s="15" t="str">
        <x:v>Customer 009</x:v>
      </x:c>
      <x:c r="C10" s="15" t="str">
        <x:v>SMB</x:v>
      </x:c>
      <x:c r="D10" s="15" t="str">
        <x:v>South</x:v>
      </x:c>
      <x:c r="E10" s="15" t="str">
        <x:v>Hyderabad</x:v>
      </x:c>
      <x:c r="F10" s="15" t="str">
        <x:v>Active</x:v>
      </x:c>
      <x:c r="G10" s="15" t="n">
        <x:v>45801</x:v>
      </x:c>
    </x:row>
    <x:row r="11">
      <x:c r="A11" s="15" t="str">
        <x:v>CUST0010</x:v>
      </x:c>
      <x:c r="B11" s="15" t="str">
        <x:v>Customer 010</x:v>
      </x:c>
      <x:c r="C11" s="15" t="str">
        <x:v>Corporate</x:v>
      </x:c>
      <x:c r="D11" s="15" t="str">
        <x:v>West</x:v>
      </x:c>
      <x:c r="E11" s="15" t="str">
        <x:v>Ahmedabad</x:v>
      </x:c>
      <x:c r="F11" s="15" t="str">
        <x:v>Active</x:v>
      </x:c>
      <x:c r="G11" s="15" t="n">
        <x:v>45844</x:v>
      </x:c>
    </x:row>
    <x:row r="12">
      <x:c r="A12" s="15" t="str">
        <x:v>CUST0011</x:v>
      </x:c>
      <x:c r="B12" s="15" t="str">
        <x:v>Customer 011</x:v>
      </x:c>
      <x:c r="C12" s="15" t="str">
        <x:v>Enterprise</x:v>
      </x:c>
      <x:c r="D12" s="15" t="str">
        <x:v>South</x:v>
      </x:c>
      <x:c r="E12" s="15" t="str">
        <x:v>Chennai</x:v>
      </x:c>
      <x:c r="F12" s="15" t="str">
        <x:v>Active</x:v>
      </x:c>
      <x:c r="G12" s="15" t="n">
        <x:v>45443</x:v>
      </x:c>
    </x:row>
    <x:row r="13">
      <x:c r="A13" s="15" t="str">
        <x:v>CUST0012</x:v>
      </x:c>
      <x:c r="B13" s="15" t="str">
        <x:v>Customer 012</x:v>
      </x:c>
      <x:c r="C13" s="15" t="str">
        <x:v>Enterprise</x:v>
      </x:c>
      <x:c r="D13" s="15" t="str">
        <x:v>East</x:v>
      </x:c>
      <x:c r="E13" s="15" t="str">
        <x:v>Bhubaneswar</x:v>
      </x:c>
      <x:c r="F13" s="15" t="str">
        <x:v>Active</x:v>
      </x:c>
      <x:c r="G13" s="15" t="n">
        <x:v>45728</x:v>
      </x:c>
    </x:row>
    <x:row r="14">
      <x:c r="A14" s="15" t="str">
        <x:v>CUST0013</x:v>
      </x:c>
      <x:c r="B14" s="15" t="str">
        <x:v>Customer 013</x:v>
      </x:c>
      <x:c r="C14" s="15" t="str">
        <x:v>Corporate</x:v>
      </x:c>
      <x:c r="D14" s="15" t="str">
        <x:v>West</x:v>
      </x:c>
      <x:c r="E14" s="15" t="str">
        <x:v>Ahmedabad</x:v>
      </x:c>
      <x:c r="F14" s="15" t="str">
        <x:v>Active</x:v>
      </x:c>
      <x:c r="G14" s="15" t="n">
        <x:v>45836</x:v>
      </x:c>
    </x:row>
    <x:row r="15">
      <x:c r="A15" s="15" t="str">
        <x:v>CUST0014</x:v>
      </x:c>
      <x:c r="B15" s="15" t="str">
        <x:v>Customer 014</x:v>
      </x:c>
      <x:c r="C15" s="15" t="str">
        <x:v>SMB</x:v>
      </x:c>
      <x:c r="D15" s="15" t="str">
        <x:v>North</x:v>
      </x:c>
      <x:c r="E15" s="15" t="str">
        <x:v>Lucknow</x:v>
      </x:c>
      <x:c r="F15" s="15" t="str">
        <x:v>Inactive</x:v>
      </x:c>
      <x:c r="G15" s="15" t="n">
        <x:v>45807</x:v>
      </x:c>
    </x:row>
    <x:row r="16">
      <x:c r="A16" s="15" t="str">
        <x:v>CUST0015</x:v>
      </x:c>
      <x:c r="B16" s="15" t="str">
        <x:v>Customer 015</x:v>
      </x:c>
      <x:c r="C16" s="15" t="str">
        <x:v>SMB</x:v>
      </x:c>
      <x:c r="D16" s="15" t="str">
        <x:v>West</x:v>
      </x:c>
      <x:c r="E16" s="15" t="str">
        <x:v>Mumbai</x:v>
      </x:c>
      <x:c r="F16" s="15" t="str">
        <x:v>Active</x:v>
      </x:c>
      <x:c r="G16" s="15" t="n">
        <x:v>45833</x:v>
      </x:c>
    </x:row>
    <x:row r="17">
      <x:c r="A17" s="15" t="str">
        <x:v>CUST0016</x:v>
      </x:c>
      <x:c r="B17" s="15" t="str">
        <x:v>Customer 016</x:v>
      </x:c>
      <x:c r="C17" s="15" t="str">
        <x:v>Retail</x:v>
      </x:c>
      <x:c r="D17" s="15" t="str">
        <x:v>North</x:v>
      </x:c>
      <x:c r="E17" s="15" t="str">
        <x:v>Lucknow</x:v>
      </x:c>
      <x:c r="F17" s="15" t="str">
        <x:v>Active</x:v>
      </x:c>
      <x:c r="G17" s="15" t="n">
        <x:v>45644</x:v>
      </x:c>
    </x:row>
    <x:row r="18">
      <x:c r="A18" s="15" t="str">
        <x:v>CUST0017</x:v>
      </x:c>
      <x:c r="B18" s="15" t="str">
        <x:v>Customer 017</x:v>
      </x:c>
      <x:c r="C18" s="15" t="str">
        <x:v>Retail</x:v>
      </x:c>
      <x:c r="D18" s="15" t="str">
        <x:v>West</x:v>
      </x:c>
      <x:c r="E18" s="15" t="str">
        <x:v>Pune</x:v>
      </x:c>
      <x:c r="F18" s="15" t="str">
        <x:v>Active</x:v>
      </x:c>
      <x:c r="G18" s="15" t="n">
        <x:v>45517</x:v>
      </x:c>
    </x:row>
    <x:row r="19">
      <x:c r="A19" s="15" t="str">
        <x:v>CUST0018</x:v>
      </x:c>
      <x:c r="B19" s="15" t="str">
        <x:v>Customer 018</x:v>
      </x:c>
      <x:c r="C19" s="15" t="str">
        <x:v>Retail</x:v>
      </x:c>
      <x:c r="D19" s="15" t="str">
        <x:v>North</x:v>
      </x:c>
      <x:c r="E19" s="15" t="str">
        <x:v>Jaipur</x:v>
      </x:c>
      <x:c r="F19" s="15" t="str">
        <x:v>Active</x:v>
      </x:c>
      <x:c r="G19" s="15" t="n">
        <x:v>45677</x:v>
      </x:c>
    </x:row>
    <x:row r="20">
      <x:c r="A20" s="15" t="str">
        <x:v>CUST0019</x:v>
      </x:c>
      <x:c r="B20" s="15" t="str">
        <x:v>Customer 019</x:v>
      </x:c>
      <x:c r="C20" s="15" t="str">
        <x:v>Enterprise</x:v>
      </x:c>
      <x:c r="D20" s="15" t="str">
        <x:v>North</x:v>
      </x:c>
      <x:c r="E20" s="15" t="str">
        <x:v>Delhi</x:v>
      </x:c>
      <x:c r="F20" s="15" t="str">
        <x:v>Inactive</x:v>
      </x:c>
      <x:c r="G20" s="15" t="n">
        <x:v>45411</x:v>
      </x:c>
    </x:row>
    <x:row r="21">
      <x:c r="A21" s="15" t="str">
        <x:v>CUST0020</x:v>
      </x:c>
      <x:c r="B21" s="15" t="str">
        <x:v>Customer 020</x:v>
      </x:c>
      <x:c r="C21" s="15" t="str">
        <x:v>Retail</x:v>
      </x:c>
      <x:c r="D21" s="15" t="str">
        <x:v>West</x:v>
      </x:c>
      <x:c r="E21" s="15" t="str">
        <x:v>Mumbai</x:v>
      </x:c>
      <x:c r="F21" s="15" t="str">
        <x:v>Active</x:v>
      </x:c>
      <x:c r="G21" s="15" t="n">
        <x:v>45599</x:v>
      </x:c>
    </x:row>
    <x:row r="22">
      <x:c r="A22" s="15" t="str">
        <x:v>CUST0021</x:v>
      </x:c>
      <x:c r="B22" s="15" t="str">
        <x:v>Customer 021</x:v>
      </x:c>
      <x:c r="C22" s="15" t="str">
        <x:v>Retail</x:v>
      </x:c>
      <x:c r="D22" s="15" t="str">
        <x:v>South</x:v>
      </x:c>
      <x:c r="E22" s="15" t="str">
        <x:v>Bengaluru</x:v>
      </x:c>
      <x:c r="F22" s="15" t="str">
        <x:v>Active</x:v>
      </x:c>
      <x:c r="G22" s="15" t="n">
        <x:v>45466</x:v>
      </x:c>
    </x:row>
    <x:row r="23">
      <x:c r="A23" s="15" t="str">
        <x:v>CUST0022</x:v>
      </x:c>
      <x:c r="B23" s="15" t="str">
        <x:v>Customer 022</x:v>
      </x:c>
      <x:c r="C23" s="15" t="str">
        <x:v>Corporate</x:v>
      </x:c>
      <x:c r="D23" s="15" t="str">
        <x:v>East</x:v>
      </x:c>
      <x:c r="E23" s="15" t="str">
        <x:v>Kolkata</x:v>
      </x:c>
      <x:c r="F23" s="15" t="str">
        <x:v>Inactive</x:v>
      </x:c>
      <x:c r="G23" s="15" t="n">
        <x:v>45869</x:v>
      </x:c>
    </x:row>
    <x:row r="24">
      <x:c r="A24" s="15" t="str">
        <x:v>CUST0023</x:v>
      </x:c>
      <x:c r="B24" s="15" t="str">
        <x:v>Customer 023</x:v>
      </x:c>
      <x:c r="C24" s="15" t="str">
        <x:v>Enterprise</x:v>
      </x:c>
      <x:c r="D24" s="15" t="str">
        <x:v>East</x:v>
      </x:c>
      <x:c r="E24" s="15" t="str">
        <x:v>Bhubaneswar</x:v>
      </x:c>
      <x:c r="F24" s="15" t="str">
        <x:v>Active</x:v>
      </x:c>
      <x:c r="G24" s="15" t="n">
        <x:v>45363</x:v>
      </x:c>
    </x:row>
    <x:row r="25">
      <x:c r="A25" s="15" t="str">
        <x:v>CUST0024</x:v>
      </x:c>
      <x:c r="B25" s="15" t="str">
        <x:v>Customer 024</x:v>
      </x:c>
      <x:c r="C25" s="15" t="str">
        <x:v>Retail</x:v>
      </x:c>
      <x:c r="D25" s="15" t="str">
        <x:v>North</x:v>
      </x:c>
      <x:c r="E25" s="15" t="str">
        <x:v>Delhi</x:v>
      </x:c>
      <x:c r="F25" s="15" t="str">
        <x:v>Active</x:v>
      </x:c>
      <x:c r="G25" s="15" t="n">
        <x:v>45401</x:v>
      </x:c>
    </x:row>
    <x:row r="26">
      <x:c r="A26" s="15" t="str">
        <x:v>CUST0025</x:v>
      </x:c>
      <x:c r="B26" s="15" t="str">
        <x:v>Customer 025</x:v>
      </x:c>
      <x:c r="C26" s="15" t="str">
        <x:v>Corporate</x:v>
      </x:c>
      <x:c r="D26" s="15" t="str">
        <x:v>North</x:v>
      </x:c>
      <x:c r="E26" s="15" t="str">
        <x:v>Lucknow</x:v>
      </x:c>
      <x:c r="F26" s="15" t="str">
        <x:v>Inactive</x:v>
      </x:c>
      <x:c r="G26" s="15" t="n">
        <x:v>45444</x:v>
      </x:c>
    </x:row>
    <x:row r="27">
      <x:c r="A27" s="15" t="str">
        <x:v>CUST0026</x:v>
      </x:c>
      <x:c r="B27" s="15" t="str">
        <x:v>Customer 026</x:v>
      </x:c>
      <x:c r="C27" s="15" t="str">
        <x:v>Corporate</x:v>
      </x:c>
      <x:c r="D27" s="15" t="str">
        <x:v>South</x:v>
      </x:c>
      <x:c r="E27" s="15" t="str">
        <x:v>Hyderabad</x:v>
      </x:c>
      <x:c r="F27" s="15" t="str">
        <x:v>Active</x:v>
      </x:c>
      <x:c r="G27" s="15" t="n">
        <x:v>45640</x:v>
      </x:c>
    </x:row>
    <x:row r="28">
      <x:c r="A28" s="15" t="str">
        <x:v>CUST0027</x:v>
      </x:c>
      <x:c r="B28" s="15" t="str">
        <x:v>Customer 027</x:v>
      </x:c>
      <x:c r="C28" s="15" t="str">
        <x:v>Retail</x:v>
      </x:c>
      <x:c r="D28" s="15" t="str">
        <x:v>East</x:v>
      </x:c>
      <x:c r="E28" s="15" t="str">
        <x:v>Guwahati</x:v>
      </x:c>
      <x:c r="F28" s="15" t="str">
        <x:v>Active</x:v>
      </x:c>
      <x:c r="G28" s="15" t="n">
        <x:v>45651</x:v>
      </x:c>
    </x:row>
    <x:row r="29">
      <x:c r="A29" s="15" t="str">
        <x:v>CUST0028</x:v>
      </x:c>
      <x:c r="B29" s="15" t="str">
        <x:v>Customer 028</x:v>
      </x:c>
      <x:c r="C29" s="15" t="str">
        <x:v>SMB</x:v>
      </x:c>
      <x:c r="D29" s="15" t="str">
        <x:v>North</x:v>
      </x:c>
      <x:c r="E29" s="15" t="str">
        <x:v>Delhi</x:v>
      </x:c>
      <x:c r="F29" s="15" t="str">
        <x:v>Inactive</x:v>
      </x:c>
      <x:c r="G29" s="15" t="n">
        <x:v>45507</x:v>
      </x:c>
    </x:row>
    <x:row r="30">
      <x:c r="A30" s="15" t="str">
        <x:v>CUST0029</x:v>
      </x:c>
      <x:c r="B30" s="15" t="str">
        <x:v>Customer 029</x:v>
      </x:c>
      <x:c r="C30" s="15" t="str">
        <x:v>Retail</x:v>
      </x:c>
      <x:c r="D30" s="15" t="str">
        <x:v>South</x:v>
      </x:c>
      <x:c r="E30" s="15" t="str">
        <x:v>Chennai</x:v>
      </x:c>
      <x:c r="F30" s="15" t="str">
        <x:v>Active</x:v>
      </x:c>
      <x:c r="G30" s="15" t="n">
        <x:v>45474</x:v>
      </x:c>
    </x:row>
    <x:row r="31">
      <x:c r="A31" s="15" t="str">
        <x:v>CUST0030</x:v>
      </x:c>
      <x:c r="B31" s="15" t="str">
        <x:v>Customer 030</x:v>
      </x:c>
      <x:c r="C31" s="15" t="str">
        <x:v>Enterprise</x:v>
      </x:c>
      <x:c r="D31" s="15" t="str">
        <x:v>North</x:v>
      </x:c>
      <x:c r="E31" s="15" t="str">
        <x:v>Jaipur</x:v>
      </x:c>
      <x:c r="F31" s="15" t="str">
        <x:v>Active</x:v>
      </x:c>
      <x:c r="G31" s="15" t="n">
        <x:v>45377</x:v>
      </x:c>
    </x:row>
    <x:row r="32">
      <x:c r="A32" s="15" t="str">
        <x:v>CUST0031</x:v>
      </x:c>
      <x:c r="B32" s="15" t="str">
        <x:v>Customer 031</x:v>
      </x:c>
      <x:c r="C32" s="15" t="str">
        <x:v>Corporate</x:v>
      </x:c>
      <x:c r="D32" s="15" t="str">
        <x:v>West</x:v>
      </x:c>
      <x:c r="E32" s="15" t="str">
        <x:v>Pune</x:v>
      </x:c>
      <x:c r="F32" s="15" t="str">
        <x:v>Inactive</x:v>
      </x:c>
      <x:c r="G32" s="15" t="n">
        <x:v>45450</x:v>
      </x:c>
    </x:row>
    <x:row r="33">
      <x:c r="A33" s="15" t="str">
        <x:v>CUST0032</x:v>
      </x:c>
      <x:c r="B33" s="15" t="str">
        <x:v>Customer 032</x:v>
      </x:c>
      <x:c r="C33" s="15" t="str">
        <x:v>Retail</x:v>
      </x:c>
      <x:c r="D33" s="15" t="str">
        <x:v>East</x:v>
      </x:c>
      <x:c r="E33" s="15" t="str">
        <x:v>Kolkata</x:v>
      </x:c>
      <x:c r="F33" s="15" t="str">
        <x:v>Inactive</x:v>
      </x:c>
      <x:c r="G33" s="15" t="n">
        <x:v>45421</x:v>
      </x:c>
    </x:row>
    <x:row r="34">
      <x:c r="A34" s="15" t="str">
        <x:v>CUST0033</x:v>
      </x:c>
      <x:c r="B34" s="15" t="str">
        <x:v>Customer 033</x:v>
      </x:c>
      <x:c r="C34" s="15" t="str">
        <x:v>Retail</x:v>
      </x:c>
      <x:c r="D34" s="15" t="str">
        <x:v>East</x:v>
      </x:c>
      <x:c r="E34" s="15" t="str">
        <x:v>Guwahati</x:v>
      </x:c>
      <x:c r="F34" s="15" t="str">
        <x:v>Inactive</x:v>
      </x:c>
      <x:c r="G34" s="15" t="n">
        <x:v>45869</x:v>
      </x:c>
    </x:row>
    <x:row r="35">
      <x:c r="A35" s="15" t="str">
        <x:v>CUST0034</x:v>
      </x:c>
      <x:c r="B35" s="15" t="str">
        <x:v>Customer 034</x:v>
      </x:c>
      <x:c r="C35" s="15" t="str">
        <x:v>SMB</x:v>
      </x:c>
      <x:c r="D35" s="15" t="str">
        <x:v>East</x:v>
      </x:c>
      <x:c r="E35" s="15" t="str">
        <x:v>Bhubaneswar</x:v>
      </x:c>
      <x:c r="F35" s="15" t="str">
        <x:v>Active</x:v>
      </x:c>
      <x:c r="G35" s="15" t="n">
        <x:v>45344</x:v>
      </x:c>
    </x:row>
    <x:row r="36">
      <x:c r="A36" s="15" t="str">
        <x:v>CUST0035</x:v>
      </x:c>
      <x:c r="B36" s="15" t="str">
        <x:v>Customer 035</x:v>
      </x:c>
      <x:c r="C36" s="15" t="str">
        <x:v>Retail</x:v>
      </x:c>
      <x:c r="D36" s="15" t="str">
        <x:v>West</x:v>
      </x:c>
      <x:c r="E36" s="15" t="str">
        <x:v>Pune</x:v>
      </x:c>
      <x:c r="F36" s="15" t="str">
        <x:v>Active</x:v>
      </x:c>
      <x:c r="G36" s="15" t="n">
        <x:v>45402</x:v>
      </x:c>
    </x:row>
    <x:row r="37">
      <x:c r="A37" s="15" t="str">
        <x:v>CUST0036</x:v>
      </x:c>
      <x:c r="B37" s="15" t="str">
        <x:v>Customer 036</x:v>
      </x:c>
      <x:c r="C37" s="15" t="str">
        <x:v>Retail</x:v>
      </x:c>
      <x:c r="D37" s="15" t="str">
        <x:v>West</x:v>
      </x:c>
      <x:c r="E37" s="15" t="str">
        <x:v>Ahmedabad</x:v>
      </x:c>
      <x:c r="F37" s="15" t="str">
        <x:v>Active</x:v>
      </x:c>
      <x:c r="G37" s="15" t="n">
        <x:v>45664</x:v>
      </x:c>
    </x:row>
    <x:row r="38">
      <x:c r="A38" s="15" t="str">
        <x:v>CUST0037</x:v>
      </x:c>
      <x:c r="B38" s="15" t="str">
        <x:v>Customer 037</x:v>
      </x:c>
      <x:c r="C38" s="15" t="str">
        <x:v>Retail</x:v>
      </x:c>
      <x:c r="D38" s="15" t="str">
        <x:v>East</x:v>
      </x:c>
      <x:c r="E38" s="15" t="str">
        <x:v>Guwahati</x:v>
      </x:c>
      <x:c r="F38" s="15" t="str">
        <x:v>Active</x:v>
      </x:c>
      <x:c r="G38" s="15" t="n">
        <x:v>45805</x:v>
      </x:c>
    </x:row>
    <x:row r="39">
      <x:c r="A39" s="15" t="str">
        <x:v>CUST0038</x:v>
      </x:c>
      <x:c r="B39" s="15" t="str">
        <x:v>Customer 038</x:v>
      </x:c>
      <x:c r="C39" s="15" t="str">
        <x:v>SMB</x:v>
      </x:c>
      <x:c r="D39" s="15" t="str">
        <x:v>West</x:v>
      </x:c>
      <x:c r="E39" s="15" t="str">
        <x:v>Ahmedabad</x:v>
      </x:c>
      <x:c r="F39" s="15" t="str">
        <x:v>Inactive</x:v>
      </x:c>
      <x:c r="G39" s="15" t="n">
        <x:v>45824</x:v>
      </x:c>
    </x:row>
    <x:row r="40">
      <x:c r="A40" s="15" t="str">
        <x:v>CUST0039</x:v>
      </x:c>
      <x:c r="B40" s="15" t="str">
        <x:v>Customer 039</x:v>
      </x:c>
      <x:c r="C40" s="15" t="str">
        <x:v>Retail</x:v>
      </x:c>
      <x:c r="D40" s="15" t="str">
        <x:v>West</x:v>
      </x:c>
      <x:c r="E40" s="15" t="str">
        <x:v>Pune</x:v>
      </x:c>
      <x:c r="F40" s="15" t="str">
        <x:v>Active</x:v>
      </x:c>
      <x:c r="G40" s="15" t="n">
        <x:v>45373</x:v>
      </x:c>
    </x:row>
    <x:row r="41">
      <x:c r="A41" s="15" t="str">
        <x:v>CUST0040</x:v>
      </x:c>
      <x:c r="B41" s="15" t="str">
        <x:v>Customer 040</x:v>
      </x:c>
      <x:c r="C41" s="15" t="str">
        <x:v>Enterprise</x:v>
      </x:c>
      <x:c r="D41" s="15" t="str">
        <x:v>North</x:v>
      </x:c>
      <x:c r="E41" s="15" t="str">
        <x:v>Delhi</x:v>
      </x:c>
      <x:c r="F41" s="15" t="str">
        <x:v>Active</x:v>
      </x:c>
      <x:c r="G41" s="15" t="n">
        <x:v>45373</x:v>
      </x:c>
    </x:row>
    <x:row r="42">
      <x:c r="A42" s="15" t="str">
        <x:v>CUST0041</x:v>
      </x:c>
      <x:c r="B42" s="15" t="str">
        <x:v>Customer 041</x:v>
      </x:c>
      <x:c r="C42" s="15" t="str">
        <x:v>SMB</x:v>
      </x:c>
      <x:c r="D42" s="15" t="str">
        <x:v>East</x:v>
      </x:c>
      <x:c r="E42" s="15" t="str">
        <x:v>Guwahati</x:v>
      </x:c>
      <x:c r="F42" s="15" t="str">
        <x:v>Active</x:v>
      </x:c>
      <x:c r="G42" s="15" t="n">
        <x:v>45820</x:v>
      </x:c>
    </x:row>
    <x:row r="43">
      <x:c r="A43" s="15" t="str">
        <x:v>CUST0042</x:v>
      </x:c>
      <x:c r="B43" s="15" t="str">
        <x:v>Customer 042</x:v>
      </x:c>
      <x:c r="C43" s="15" t="str">
        <x:v>SMB</x:v>
      </x:c>
      <x:c r="D43" s="15" t="str">
        <x:v>North</x:v>
      </x:c>
      <x:c r="E43" s="15" t="str">
        <x:v>Jaipur</x:v>
      </x:c>
      <x:c r="F43" s="15" t="str">
        <x:v>Active</x:v>
      </x:c>
      <x:c r="G43" s="15" t="n">
        <x:v>45492</x:v>
      </x:c>
    </x:row>
    <x:row r="44">
      <x:c r="A44" s="15" t="str">
        <x:v>CUST0043</x:v>
      </x:c>
      <x:c r="B44" s="15" t="str">
        <x:v>Customer 043</x:v>
      </x:c>
      <x:c r="C44" s="15" t="str">
        <x:v>SMB</x:v>
      </x:c>
      <x:c r="D44" s="15" t="str">
        <x:v>East</x:v>
      </x:c>
      <x:c r="E44" s="15" t="str">
        <x:v>Bhubaneswar</x:v>
      </x:c>
      <x:c r="F44" s="15" t="str">
        <x:v>Active</x:v>
      </x:c>
      <x:c r="G44" s="15" t="n">
        <x:v>45502</x:v>
      </x:c>
    </x:row>
    <x:row r="45">
      <x:c r="A45" s="15" t="str">
        <x:v>CUST0044</x:v>
      </x:c>
      <x:c r="B45" s="15" t="str">
        <x:v>Customer 044</x:v>
      </x:c>
      <x:c r="C45" s="15" t="str">
        <x:v>Enterprise</x:v>
      </x:c>
      <x:c r="D45" s="15" t="str">
        <x:v>North</x:v>
      </x:c>
      <x:c r="E45" s="15" t="str">
        <x:v>Lucknow</x:v>
      </x:c>
      <x:c r="F45" s="15" t="str">
        <x:v>Inactive</x:v>
      </x:c>
      <x:c r="G45" s="15" t="n">
        <x:v>45828</x:v>
      </x:c>
    </x:row>
    <x:row r="46">
      <x:c r="A46" s="15" t="str">
        <x:v>CUST0045</x:v>
      </x:c>
      <x:c r="B46" s="15" t="str">
        <x:v>Customer 045</x:v>
      </x:c>
      <x:c r="C46" s="15" t="str">
        <x:v>SMB</x:v>
      </x:c>
      <x:c r="D46" s="15" t="str">
        <x:v>North</x:v>
      </x:c>
      <x:c r="E46" s="15" t="str">
        <x:v>Lucknow</x:v>
      </x:c>
      <x:c r="F46" s="15" t="str">
        <x:v>Inactive</x:v>
      </x:c>
      <x:c r="G46" s="15" t="n">
        <x:v>45492</x:v>
      </x:c>
    </x:row>
    <x:row r="47">
      <x:c r="A47" s="15" t="str">
        <x:v>CUST0046</x:v>
      </x:c>
      <x:c r="B47" s="15" t="str">
        <x:v>Customer 046</x:v>
      </x:c>
      <x:c r="C47" s="15" t="str">
        <x:v>Retail</x:v>
      </x:c>
      <x:c r="D47" s="15" t="str">
        <x:v>East</x:v>
      </x:c>
      <x:c r="E47" s="15" t="str">
        <x:v>Bhubaneswar</x:v>
      </x:c>
      <x:c r="F47" s="15" t="str">
        <x:v>Active</x:v>
      </x:c>
      <x:c r="G47" s="15" t="n">
        <x:v>45362</x:v>
      </x:c>
    </x:row>
    <x:row r="48">
      <x:c r="A48" s="15" t="str">
        <x:v>CUST0047</x:v>
      </x:c>
      <x:c r="B48" s="15" t="str">
        <x:v>Customer 047</x:v>
      </x:c>
      <x:c r="C48" s="15" t="str">
        <x:v>SMB</x:v>
      </x:c>
      <x:c r="D48" s="15" t="str">
        <x:v>East</x:v>
      </x:c>
      <x:c r="E48" s="15" t="str">
        <x:v>Bhubaneswar</x:v>
      </x:c>
      <x:c r="F48" s="15" t="str">
        <x:v>Active</x:v>
      </x:c>
      <x:c r="G48" s="15" t="n">
        <x:v>45572</x:v>
      </x:c>
    </x:row>
    <x:row r="49">
      <x:c r="A49" s="15" t="str">
        <x:v>CUST0048</x:v>
      </x:c>
      <x:c r="B49" s="15" t="str">
        <x:v>Customer 048</x:v>
      </x:c>
      <x:c r="C49" s="15" t="str">
        <x:v>SMB</x:v>
      </x:c>
      <x:c r="D49" s="15" t="str">
        <x:v>North</x:v>
      </x:c>
      <x:c r="E49" s="15" t="str">
        <x:v>Lucknow</x:v>
      </x:c>
      <x:c r="F49" s="15" t="str">
        <x:v>Active</x:v>
      </x:c>
      <x:c r="G49" s="15" t="n">
        <x:v>45575</x:v>
      </x:c>
    </x:row>
    <x:row r="50">
      <x:c r="A50" s="15" t="str">
        <x:v>CUST0049</x:v>
      </x:c>
      <x:c r="B50" s="15" t="str">
        <x:v>Customer 049</x:v>
      </x:c>
      <x:c r="C50" s="15" t="str">
        <x:v>Corporate</x:v>
      </x:c>
      <x:c r="D50" s="15" t="str">
        <x:v>East</x:v>
      </x:c>
      <x:c r="E50" s="15" t="str">
        <x:v>Bhubaneswar</x:v>
      </x:c>
      <x:c r="F50" s="15" t="str">
        <x:v>Active</x:v>
      </x:c>
      <x:c r="G50" s="15" t="n">
        <x:v>45545</x:v>
      </x:c>
    </x:row>
    <x:row r="51">
      <x:c r="A51" s="15" t="str">
        <x:v>CUST0050</x:v>
      </x:c>
      <x:c r="B51" s="15" t="str">
        <x:v>Customer 050</x:v>
      </x:c>
      <x:c r="C51" s="15" t="str">
        <x:v>Corporate</x:v>
      </x:c>
      <x:c r="D51" s="15" t="str">
        <x:v>East</x:v>
      </x:c>
      <x:c r="E51" s="15" t="str">
        <x:v>Kolkata</x:v>
      </x:c>
      <x:c r="F51" s="15" t="str">
        <x:v>Active</x:v>
      </x:c>
      <x:c r="G51" s="15" t="n">
        <x:v>45668</x:v>
      </x:c>
    </x:row>
    <x:row r="52">
      <x:c r="A52" s="15" t="str">
        <x:v>CUST0051</x:v>
      </x:c>
      <x:c r="B52" s="15" t="str">
        <x:v>Customer 051</x:v>
      </x:c>
      <x:c r="C52" s="15" t="str">
        <x:v>Retail</x:v>
      </x:c>
      <x:c r="D52" s="15" t="str">
        <x:v>East</x:v>
      </x:c>
      <x:c r="E52" s="15" t="str">
        <x:v>Kolkata</x:v>
      </x:c>
      <x:c r="F52" s="15" t="str">
        <x:v>Inactive</x:v>
      </x:c>
      <x:c r="G52" s="15" t="n">
        <x:v>45378</x:v>
      </x:c>
    </x:row>
    <x:row r="53">
      <x:c r="A53" s="15" t="str">
        <x:v>CUST0052</x:v>
      </x:c>
      <x:c r="B53" s="15" t="str">
        <x:v>Customer 052</x:v>
      </x:c>
      <x:c r="C53" s="15" t="str">
        <x:v>Enterprise</x:v>
      </x:c>
      <x:c r="D53" s="15" t="str">
        <x:v>West</x:v>
      </x:c>
      <x:c r="E53" s="15" t="str">
        <x:v>Mumbai</x:v>
      </x:c>
      <x:c r="F53" s="15" t="str">
        <x:v>Active</x:v>
      </x:c>
      <x:c r="G53" s="15" t="n">
        <x:v>45314</x:v>
      </x:c>
    </x:row>
    <x:row r="54">
      <x:c r="A54" s="15" t="str">
        <x:v>CUST0053</x:v>
      </x:c>
      <x:c r="B54" s="15" t="str">
        <x:v>Customer 053</x:v>
      </x:c>
      <x:c r="C54" s="15" t="str">
        <x:v>SMB</x:v>
      </x:c>
      <x:c r="D54" s="15" t="str">
        <x:v>West</x:v>
      </x:c>
      <x:c r="E54" s="15" t="str">
        <x:v>Mumbai</x:v>
      </x:c>
      <x:c r="F54" s="15" t="str">
        <x:v>Active</x:v>
      </x:c>
      <x:c r="G54" s="15" t="n">
        <x:v>45765</x:v>
      </x:c>
    </x:row>
    <x:row r="55">
      <x:c r="A55" s="15" t="str">
        <x:v>CUST0054</x:v>
      </x:c>
      <x:c r="B55" s="15" t="str">
        <x:v>Customer 054</x:v>
      </x:c>
      <x:c r="C55" s="15" t="str">
        <x:v>SMB</x:v>
      </x:c>
      <x:c r="D55" s="15" t="str">
        <x:v>East</x:v>
      </x:c>
      <x:c r="E55" s="15" t="str">
        <x:v>Guwahati</x:v>
      </x:c>
      <x:c r="F55" s="15" t="str">
        <x:v>Active</x:v>
      </x:c>
      <x:c r="G55" s="15" t="n">
        <x:v>45421</x:v>
      </x:c>
    </x:row>
    <x:row r="56">
      <x:c r="A56" s="15" t="str">
        <x:v>CUST0055</x:v>
      </x:c>
      <x:c r="B56" s="15" t="str">
        <x:v>Customer 055</x:v>
      </x:c>
      <x:c r="C56" s="15" t="str">
        <x:v>Retail</x:v>
      </x:c>
      <x:c r="D56" s="15" t="str">
        <x:v>North</x:v>
      </x:c>
      <x:c r="E56" s="15" t="str">
        <x:v>Jaipur</x:v>
      </x:c>
      <x:c r="F56" s="15" t="str">
        <x:v>Active</x:v>
      </x:c>
      <x:c r="G56" s="15" t="n">
        <x:v>45377</x:v>
      </x:c>
    </x:row>
    <x:row r="57">
      <x:c r="A57" s="15" t="str">
        <x:v>CUST0056</x:v>
      </x:c>
      <x:c r="B57" s="15" t="str">
        <x:v>Customer 056</x:v>
      </x:c>
      <x:c r="C57" s="15" t="str">
        <x:v>SMB</x:v>
      </x:c>
      <x:c r="D57" s="15" t="str">
        <x:v>West</x:v>
      </x:c>
      <x:c r="E57" s="15" t="str">
        <x:v>Mumbai</x:v>
      </x:c>
      <x:c r="F57" s="15" t="str">
        <x:v>Active</x:v>
      </x:c>
      <x:c r="G57" s="15" t="n">
        <x:v>45329</x:v>
      </x:c>
    </x:row>
    <x:row r="58">
      <x:c r="A58" s="15" t="str">
        <x:v>CUST0057</x:v>
      </x:c>
      <x:c r="B58" s="15" t="str">
        <x:v>Customer 057</x:v>
      </x:c>
      <x:c r="C58" s="15" t="str">
        <x:v>Corporate</x:v>
      </x:c>
      <x:c r="D58" s="15" t="str">
        <x:v>North</x:v>
      </x:c>
      <x:c r="E58" s="15" t="str">
        <x:v>Jaipur</x:v>
      </x:c>
      <x:c r="F58" s="15" t="str">
        <x:v>Active</x:v>
      </x:c>
      <x:c r="G58" s="15" t="n">
        <x:v>45626</x:v>
      </x:c>
    </x:row>
    <x:row r="59">
      <x:c r="A59" s="15" t="str">
        <x:v>CUST0058</x:v>
      </x:c>
      <x:c r="B59" s="15" t="str">
        <x:v>Customer 058</x:v>
      </x:c>
      <x:c r="C59" s="15" t="str">
        <x:v>Retail</x:v>
      </x:c>
      <x:c r="D59" s="15" t="str">
        <x:v>South</x:v>
      </x:c>
      <x:c r="E59" s="15" t="str">
        <x:v>Chennai</x:v>
      </x:c>
      <x:c r="F59" s="15" t="str">
        <x:v>Active</x:v>
      </x:c>
      <x:c r="G59" s="15" t="n">
        <x:v>45736</x:v>
      </x:c>
    </x:row>
    <x:row r="60">
      <x:c r="A60" s="15" t="str">
        <x:v>CUST0059</x:v>
      </x:c>
      <x:c r="B60" s="15" t="str">
        <x:v>Customer 059</x:v>
      </x:c>
      <x:c r="C60" s="15" t="str">
        <x:v>Corporate</x:v>
      </x:c>
      <x:c r="D60" s="15" t="str">
        <x:v>West</x:v>
      </x:c>
      <x:c r="E60" s="15" t="str">
        <x:v>Pune</x:v>
      </x:c>
      <x:c r="F60" s="15" t="str">
        <x:v>Inactive</x:v>
      </x:c>
      <x:c r="G60" s="15" t="n">
        <x:v>45444</x:v>
      </x:c>
    </x:row>
    <x:row r="61">
      <x:c r="A61" s="15" t="str">
        <x:v>CUST0060</x:v>
      </x:c>
      <x:c r="B61" s="15" t="str">
        <x:v>Customer 060</x:v>
      </x:c>
      <x:c r="C61" s="15" t="str">
        <x:v>Retail</x:v>
      </x:c>
      <x:c r="D61" s="15" t="str">
        <x:v>East</x:v>
      </x:c>
      <x:c r="E61" s="15" t="str">
        <x:v>Kolkata</x:v>
      </x:c>
      <x:c r="F61" s="15" t="str">
        <x:v>Active</x:v>
      </x:c>
      <x:c r="G61" s="15" t="n">
        <x:v>45376</x:v>
      </x:c>
    </x:row>
    <x:row r="62">
      <x:c r="A62" s="15" t="str">
        <x:v>CUST0061</x:v>
      </x:c>
      <x:c r="B62" s="15" t="str">
        <x:v>Customer 061</x:v>
      </x:c>
      <x:c r="C62" s="15" t="str">
        <x:v>Corporate</x:v>
      </x:c>
      <x:c r="D62" s="15" t="str">
        <x:v>North</x:v>
      </x:c>
      <x:c r="E62" s="15" t="str">
        <x:v>Jaipur</x:v>
      </x:c>
      <x:c r="F62" s="15" t="str">
        <x:v>Active</x:v>
      </x:c>
      <x:c r="G62" s="15" t="n">
        <x:v>45403</x:v>
      </x:c>
    </x:row>
    <x:row r="63">
      <x:c r="A63" s="15" t="str">
        <x:v>CUST0062</x:v>
      </x:c>
      <x:c r="B63" s="15" t="str">
        <x:v>Customer 062</x:v>
      </x:c>
      <x:c r="C63" s="15" t="str">
        <x:v>Retail</x:v>
      </x:c>
      <x:c r="D63" s="15" t="str">
        <x:v>South</x:v>
      </x:c>
      <x:c r="E63" s="15" t="str">
        <x:v>Chennai</x:v>
      </x:c>
      <x:c r="F63" s="15" t="str">
        <x:v>Active</x:v>
      </x:c>
      <x:c r="G63" s="15" t="n">
        <x:v>45466</x:v>
      </x:c>
    </x:row>
    <x:row r="64">
      <x:c r="A64" s="15" t="str">
        <x:v>CUST0063</x:v>
      </x:c>
      <x:c r="B64" s="15" t="str">
        <x:v>Customer 063</x:v>
      </x:c>
      <x:c r="C64" s="15" t="str">
        <x:v>SMB</x:v>
      </x:c>
      <x:c r="D64" s="15" t="str">
        <x:v>North</x:v>
      </x:c>
      <x:c r="E64" s="15" t="str">
        <x:v>Delhi</x:v>
      </x:c>
      <x:c r="F64" s="15" t="str">
        <x:v>Inactive</x:v>
      </x:c>
      <x:c r="G64" s="15" t="n">
        <x:v>45405</x:v>
      </x:c>
    </x:row>
    <x:row r="65">
      <x:c r="A65" s="15" t="str">
        <x:v>CUST0064</x:v>
      </x:c>
      <x:c r="B65" s="15" t="str">
        <x:v>Customer 064</x:v>
      </x:c>
      <x:c r="C65" s="15" t="str">
        <x:v>Corporate</x:v>
      </x:c>
      <x:c r="D65" s="15" t="str">
        <x:v>South</x:v>
      </x:c>
      <x:c r="E65" s="15" t="str">
        <x:v>Chennai</x:v>
      </x:c>
      <x:c r="F65" s="15" t="str">
        <x:v>Active</x:v>
      </x:c>
      <x:c r="G65" s="15" t="n">
        <x:v>45522</x:v>
      </x:c>
    </x:row>
    <x:row r="66">
      <x:c r="A66" s="15" t="str">
        <x:v>CUST0065</x:v>
      </x:c>
      <x:c r="B66" s="15" t="str">
        <x:v>Customer 065</x:v>
      </x:c>
      <x:c r="C66" s="15" t="str">
        <x:v>Corporate</x:v>
      </x:c>
      <x:c r="D66" s="15" t="str">
        <x:v>North</x:v>
      </x:c>
      <x:c r="E66" s="15" t="str">
        <x:v>Jaipur</x:v>
      </x:c>
      <x:c r="F66" s="15" t="str">
        <x:v>Active</x:v>
      </x:c>
      <x:c r="G66" s="15" t="n">
        <x:v>45465</x:v>
      </x:c>
    </x:row>
    <x:row r="67">
      <x:c r="A67" s="15" t="str">
        <x:v>CUST0066</x:v>
      </x:c>
      <x:c r="B67" s="15" t="str">
        <x:v>Customer 066</x:v>
      </x:c>
      <x:c r="C67" s="15" t="str">
        <x:v>Enterprise</x:v>
      </x:c>
      <x:c r="D67" s="15" t="str">
        <x:v>West</x:v>
      </x:c>
      <x:c r="E67" s="15" t="str">
        <x:v>Mumbai</x:v>
      </x:c>
      <x:c r="F67" s="15" t="str">
        <x:v>Inactive</x:v>
      </x:c>
      <x:c r="G67" s="15" t="n">
        <x:v>45891</x:v>
      </x:c>
    </x:row>
    <x:row r="68">
      <x:c r="A68" s="15" t="str">
        <x:v>CUST0067</x:v>
      </x:c>
      <x:c r="B68" s="15" t="str">
        <x:v>Customer 067</x:v>
      </x:c>
      <x:c r="C68" s="15" t="str">
        <x:v>Enterprise</x:v>
      </x:c>
      <x:c r="D68" s="15" t="str">
        <x:v>North</x:v>
      </x:c>
      <x:c r="E68" s="15" t="str">
        <x:v>Jaipur</x:v>
      </x:c>
      <x:c r="F68" s="15" t="str">
        <x:v>Active</x:v>
      </x:c>
      <x:c r="G68" s="15" t="n">
        <x:v>45869</x:v>
      </x:c>
    </x:row>
    <x:row r="69">
      <x:c r="A69" s="15" t="str">
        <x:v>CUST0068</x:v>
      </x:c>
      <x:c r="B69" s="15" t="str">
        <x:v>Customer 068</x:v>
      </x:c>
      <x:c r="C69" s="15" t="str">
        <x:v>SMB</x:v>
      </x:c>
      <x:c r="D69" s="15" t="str">
        <x:v>East</x:v>
      </x:c>
      <x:c r="E69" s="15" t="str">
        <x:v>Guwahati</x:v>
      </x:c>
      <x:c r="F69" s="15" t="str">
        <x:v>Active</x:v>
      </x:c>
      <x:c r="G69" s="15" t="n">
        <x:v>45608</x:v>
      </x:c>
    </x:row>
    <x:row r="70">
      <x:c r="A70" s="15" t="str">
        <x:v>CUST0069</x:v>
      </x:c>
      <x:c r="B70" s="15" t="str">
        <x:v>Customer 069</x:v>
      </x:c>
      <x:c r="C70" s="15" t="str">
        <x:v>Enterprise</x:v>
      </x:c>
      <x:c r="D70" s="15" t="str">
        <x:v>North</x:v>
      </x:c>
      <x:c r="E70" s="15" t="str">
        <x:v>Delhi</x:v>
      </x:c>
      <x:c r="F70" s="15" t="str">
        <x:v>Active</x:v>
      </x:c>
      <x:c r="G70" s="15" t="n">
        <x:v>45803</x:v>
      </x:c>
    </x:row>
    <x:row r="71">
      <x:c r="A71" s="15" t="str">
        <x:v>CUST0070</x:v>
      </x:c>
      <x:c r="B71" s="15" t="str">
        <x:v>Customer 070</x:v>
      </x:c>
      <x:c r="C71" s="15" t="str">
        <x:v>Corporate</x:v>
      </x:c>
      <x:c r="D71" s="15" t="str">
        <x:v>North</x:v>
      </x:c>
      <x:c r="E71" s="15" t="str">
        <x:v>Lucknow</x:v>
      </x:c>
      <x:c r="F71" s="15" t="str">
        <x:v>Inactive</x:v>
      </x:c>
      <x:c r="G71" s="15" t="n">
        <x:v>45430</x:v>
      </x:c>
    </x:row>
    <x:row r="72">
      <x:c r="A72" s="15" t="str">
        <x:v>CUST0071</x:v>
      </x:c>
      <x:c r="B72" s="15" t="str">
        <x:v>Customer 071</x:v>
      </x:c>
      <x:c r="C72" s="15" t="str">
        <x:v>Enterprise</x:v>
      </x:c>
      <x:c r="D72" s="15" t="str">
        <x:v>East</x:v>
      </x:c>
      <x:c r="E72" s="15" t="str">
        <x:v>Kolkata</x:v>
      </x:c>
      <x:c r="F72" s="15" t="str">
        <x:v>Active</x:v>
      </x:c>
      <x:c r="G72" s="15" t="n">
        <x:v>45695</x:v>
      </x:c>
    </x:row>
    <x:row r="73">
      <x:c r="A73" s="15" t="str">
        <x:v>CUST0072</x:v>
      </x:c>
      <x:c r="B73" s="15" t="str">
        <x:v>Customer 072</x:v>
      </x:c>
      <x:c r="C73" s="15" t="str">
        <x:v>Retail</x:v>
      </x:c>
      <x:c r="D73" s="15" t="str">
        <x:v>South</x:v>
      </x:c>
      <x:c r="E73" s="15" t="str">
        <x:v>Bengaluru</x:v>
      </x:c>
      <x:c r="F73" s="15" t="str">
        <x:v>Active</x:v>
      </x:c>
      <x:c r="G73" s="15" t="n">
        <x:v>45647</x:v>
      </x:c>
    </x:row>
    <x:row r="74">
      <x:c r="A74" s="15" t="str">
        <x:v>CUST0073</x:v>
      </x:c>
      <x:c r="B74" s="15" t="str">
        <x:v>Customer 073</x:v>
      </x:c>
      <x:c r="C74" s="15" t="str">
        <x:v>Retail</x:v>
      </x:c>
      <x:c r="D74" s="15" t="str">
        <x:v>East</x:v>
      </x:c>
      <x:c r="E74" s="15" t="str">
        <x:v>Guwahati</x:v>
      </x:c>
      <x:c r="F74" s="15" t="str">
        <x:v>Active</x:v>
      </x:c>
      <x:c r="G74" s="15" t="n">
        <x:v>45306</x:v>
      </x:c>
    </x:row>
    <x:row r="75">
      <x:c r="A75" s="15" t="str">
        <x:v>CUST0074</x:v>
      </x:c>
      <x:c r="B75" s="15" t="str">
        <x:v>Customer 074</x:v>
      </x:c>
      <x:c r="C75" s="15" t="str">
        <x:v>Corporate</x:v>
      </x:c>
      <x:c r="D75" s="15" t="str">
        <x:v>South</x:v>
      </x:c>
      <x:c r="E75" s="15" t="str">
        <x:v>Bengaluru</x:v>
      </x:c>
      <x:c r="F75" s="15" t="str">
        <x:v>Active</x:v>
      </x:c>
      <x:c r="G75" s="15" t="n">
        <x:v>45727</x:v>
      </x:c>
    </x:row>
    <x:row r="76">
      <x:c r="A76" s="15" t="str">
        <x:v>CUST0075</x:v>
      </x:c>
      <x:c r="B76" s="15" t="str">
        <x:v>Customer 075</x:v>
      </x:c>
      <x:c r="C76" s="15" t="str">
        <x:v>SMB</x:v>
      </x:c>
      <x:c r="D76" s="15" t="str">
        <x:v>South</x:v>
      </x:c>
      <x:c r="E76" s="15" t="str">
        <x:v>Chennai</x:v>
      </x:c>
      <x:c r="F76" s="15" t="str">
        <x:v>Active</x:v>
      </x:c>
      <x:c r="G76" s="15" t="n">
        <x:v>45669</x:v>
      </x:c>
    </x:row>
    <x:row r="77">
      <x:c r="A77" s="15" t="str">
        <x:v>CUST0076</x:v>
      </x:c>
      <x:c r="B77" s="15" t="str">
        <x:v>Customer 076</x:v>
      </x:c>
      <x:c r="C77" s="15" t="str">
        <x:v>Retail</x:v>
      </x:c>
      <x:c r="D77" s="15" t="str">
        <x:v>North</x:v>
      </x:c>
      <x:c r="E77" s="15" t="str">
        <x:v>Jaipur</x:v>
      </x:c>
      <x:c r="F77" s="15" t="str">
        <x:v>Active</x:v>
      </x:c>
      <x:c r="G77" s="15" t="n">
        <x:v>45780</x:v>
      </x:c>
    </x:row>
    <x:row r="78">
      <x:c r="A78" s="15" t="str">
        <x:v>CUST0077</x:v>
      </x:c>
      <x:c r="B78" s="15" t="str">
        <x:v>Customer 077</x:v>
      </x:c>
      <x:c r="C78" s="15" t="str">
        <x:v>Corporate</x:v>
      </x:c>
      <x:c r="D78" s="15" t="str">
        <x:v>West</x:v>
      </x:c>
      <x:c r="E78" s="15" t="str">
        <x:v>Pune</x:v>
      </x:c>
      <x:c r="F78" s="15" t="str">
        <x:v>Active</x:v>
      </x:c>
      <x:c r="G78" s="15" t="n">
        <x:v>45882</x:v>
      </x:c>
    </x:row>
    <x:row r="79">
      <x:c r="A79" s="15" t="str">
        <x:v>CUST0078</x:v>
      </x:c>
      <x:c r="B79" s="15" t="str">
        <x:v>Customer 078</x:v>
      </x:c>
      <x:c r="C79" s="15" t="str">
        <x:v>SMB</x:v>
      </x:c>
      <x:c r="D79" s="15" t="str">
        <x:v>North</x:v>
      </x:c>
      <x:c r="E79" s="15" t="str">
        <x:v>Jaipur</x:v>
      </x:c>
      <x:c r="F79" s="15" t="str">
        <x:v>Active</x:v>
      </x:c>
      <x:c r="G79" s="15" t="n">
        <x:v>45331</x:v>
      </x:c>
    </x:row>
    <x:row r="80">
      <x:c r="A80" s="15" t="str">
        <x:v>CUST0079</x:v>
      </x:c>
      <x:c r="B80" s="15" t="str">
        <x:v>Customer 079</x:v>
      </x:c>
      <x:c r="C80" s="15" t="str">
        <x:v>SMB</x:v>
      </x:c>
      <x:c r="D80" s="15" t="str">
        <x:v>West</x:v>
      </x:c>
      <x:c r="E80" s="15" t="str">
        <x:v>Mumbai</x:v>
      </x:c>
      <x:c r="F80" s="15" t="str">
        <x:v>Active</x:v>
      </x:c>
      <x:c r="G80" s="15" t="n">
        <x:v>45530</x:v>
      </x:c>
    </x:row>
    <x:row r="81">
      <x:c r="A81" s="15" t="str">
        <x:v>CUST0080</x:v>
      </x:c>
      <x:c r="B81" s="15" t="str">
        <x:v>Customer 080</x:v>
      </x:c>
      <x:c r="C81" s="15" t="str">
        <x:v>Enterprise</x:v>
      </x:c>
      <x:c r="D81" s="15" t="str">
        <x:v>North</x:v>
      </x:c>
      <x:c r="E81" s="15" t="str">
        <x:v>Jaipur</x:v>
      </x:c>
      <x:c r="F81" s="15" t="str">
        <x:v>Inactive</x:v>
      </x:c>
      <x:c r="G81" s="15" t="n">
        <x:v>45866</x:v>
      </x:c>
    </x:row>
    <x:row r="82">
      <x:c r="A82" s="15" t="str">
        <x:v>CUST0081</x:v>
      </x:c>
      <x:c r="B82" s="15" t="str">
        <x:v>Customer 081</x:v>
      </x:c>
      <x:c r="C82" s="15" t="str">
        <x:v>SMB</x:v>
      </x:c>
      <x:c r="D82" s="15" t="str">
        <x:v>West</x:v>
      </x:c>
      <x:c r="E82" s="15" t="str">
        <x:v>Mumbai</x:v>
      </x:c>
      <x:c r="F82" s="15" t="str">
        <x:v>Active</x:v>
      </x:c>
      <x:c r="G82" s="15" t="n">
        <x:v>45315</x:v>
      </x:c>
    </x:row>
    <x:row r="83">
      <x:c r="A83" s="15" t="str">
        <x:v>CUST0082</x:v>
      </x:c>
      <x:c r="B83" s="15" t="str">
        <x:v>Customer 082</x:v>
      </x:c>
      <x:c r="C83" s="15" t="str">
        <x:v>SMB</x:v>
      </x:c>
      <x:c r="D83" s="15" t="str">
        <x:v>East</x:v>
      </x:c>
      <x:c r="E83" s="15" t="str">
        <x:v>Guwahati</x:v>
      </x:c>
      <x:c r="F83" s="15" t="str">
        <x:v>Active</x:v>
      </x:c>
      <x:c r="G83" s="15" t="n">
        <x:v>45757</x:v>
      </x:c>
    </x:row>
    <x:row r="84">
      <x:c r="A84" s="15" t="str">
        <x:v>CUST0083</x:v>
      </x:c>
      <x:c r="B84" s="15" t="str">
        <x:v>Customer 083</x:v>
      </x:c>
      <x:c r="C84" s="15" t="str">
        <x:v>SMB</x:v>
      </x:c>
      <x:c r="D84" s="15" t="str">
        <x:v>North</x:v>
      </x:c>
      <x:c r="E84" s="15" t="str">
        <x:v>Jaipur</x:v>
      </x:c>
      <x:c r="F84" s="15" t="str">
        <x:v>Inactive</x:v>
      </x:c>
      <x:c r="G84" s="15" t="n">
        <x:v>45749</x:v>
      </x:c>
    </x:row>
    <x:row r="85">
      <x:c r="A85" s="15" t="str">
        <x:v>CUST0084</x:v>
      </x:c>
      <x:c r="B85" s="15" t="str">
        <x:v>Customer 084</x:v>
      </x:c>
      <x:c r="C85" s="15" t="str">
        <x:v>Enterprise</x:v>
      </x:c>
      <x:c r="D85" s="15" t="str">
        <x:v>South</x:v>
      </x:c>
      <x:c r="E85" s="15" t="str">
        <x:v>Chennai</x:v>
      </x:c>
      <x:c r="F85" s="15" t="str">
        <x:v>Inactive</x:v>
      </x:c>
      <x:c r="G85" s="15" t="n">
        <x:v>45641</x:v>
      </x:c>
    </x:row>
    <x:row r="86">
      <x:c r="A86" s="15" t="str">
        <x:v>CUST0085</x:v>
      </x:c>
      <x:c r="B86" s="15" t="str">
        <x:v>Customer 085</x:v>
      </x:c>
      <x:c r="C86" s="15" t="str">
        <x:v>Retail</x:v>
      </x:c>
      <x:c r="D86" s="15" t="str">
        <x:v>West</x:v>
      </x:c>
      <x:c r="E86" s="15" t="str">
        <x:v>Pune</x:v>
      </x:c>
      <x:c r="F86" s="15" t="str">
        <x:v>Inactive</x:v>
      </x:c>
      <x:c r="G86" s="15" t="n">
        <x:v>45662</x:v>
      </x:c>
    </x:row>
    <x:row r="87">
      <x:c r="A87" s="15" t="str">
        <x:v>CUST0086</x:v>
      </x:c>
      <x:c r="B87" s="15" t="str">
        <x:v>Customer 086</x:v>
      </x:c>
      <x:c r="C87" s="15" t="str">
        <x:v>Enterprise</x:v>
      </x:c>
      <x:c r="D87" s="15" t="str">
        <x:v>East</x:v>
      </x:c>
      <x:c r="E87" s="15" t="str">
        <x:v>Kolkata</x:v>
      </x:c>
      <x:c r="F87" s="15" t="str">
        <x:v>Active</x:v>
      </x:c>
      <x:c r="G87" s="15" t="n">
        <x:v>45441</x:v>
      </x:c>
    </x:row>
    <x:row r="88">
      <x:c r="A88" s="15" t="str">
        <x:v>CUST0087</x:v>
      </x:c>
      <x:c r="B88" s="15" t="str">
        <x:v>Customer 087</x:v>
      </x:c>
      <x:c r="C88" s="15" t="str">
        <x:v>Retail</x:v>
      </x:c>
      <x:c r="D88" s="15" t="str">
        <x:v>South</x:v>
      </x:c>
      <x:c r="E88" s="15" t="str">
        <x:v>Chennai</x:v>
      </x:c>
      <x:c r="F88" s="15" t="str">
        <x:v>Active</x:v>
      </x:c>
      <x:c r="G88" s="15" t="n">
        <x:v>45514</x:v>
      </x:c>
    </x:row>
    <x:row r="89">
      <x:c r="A89" s="15" t="str">
        <x:v>CUST0088</x:v>
      </x:c>
      <x:c r="B89" s="15" t="str">
        <x:v>Customer 088</x:v>
      </x:c>
      <x:c r="C89" s="15" t="str">
        <x:v>Enterprise</x:v>
      </x:c>
      <x:c r="D89" s="15" t="str">
        <x:v>West</x:v>
      </x:c>
      <x:c r="E89" s="15" t="str">
        <x:v>Pune</x:v>
      </x:c>
      <x:c r="F89" s="15" t="str">
        <x:v>Active</x:v>
      </x:c>
      <x:c r="G89" s="15" t="n">
        <x:v>45410</x:v>
      </x:c>
    </x:row>
    <x:row r="90">
      <x:c r="A90" s="15" t="str">
        <x:v>CUST0089</x:v>
      </x:c>
      <x:c r="B90" s="15" t="str">
        <x:v>Customer 089</x:v>
      </x:c>
      <x:c r="C90" s="15" t="str">
        <x:v>Retail</x:v>
      </x:c>
      <x:c r="D90" s="15" t="str">
        <x:v>South</x:v>
      </x:c>
      <x:c r="E90" s="15" t="str">
        <x:v>Bengaluru</x:v>
      </x:c>
      <x:c r="F90" s="15" t="str">
        <x:v>Active</x:v>
      </x:c>
      <x:c r="G90" s="15" t="n">
        <x:v>45616</x:v>
      </x:c>
    </x:row>
    <x:row r="91">
      <x:c r="A91" s="15" t="str">
        <x:v>CUST0090</x:v>
      </x:c>
      <x:c r="B91" s="15" t="str">
        <x:v>Customer 090</x:v>
      </x:c>
      <x:c r="C91" s="15" t="str">
        <x:v>Retail</x:v>
      </x:c>
      <x:c r="D91" s="15" t="str">
        <x:v>North</x:v>
      </x:c>
      <x:c r="E91" s="15" t="str">
        <x:v>Delhi</x:v>
      </x:c>
      <x:c r="F91" s="15" t="str">
        <x:v>Active</x:v>
      </x:c>
      <x:c r="G91" s="15" t="n">
        <x:v>45423</x:v>
      </x:c>
    </x:row>
    <x:row r="92">
      <x:c r="A92" s="15" t="str">
        <x:v>CUST0091</x:v>
      </x:c>
      <x:c r="B92" s="15" t="str">
        <x:v>Customer 091</x:v>
      </x:c>
      <x:c r="C92" s="15" t="str">
        <x:v>SMB</x:v>
      </x:c>
      <x:c r="D92" s="15" t="str">
        <x:v>North</x:v>
      </x:c>
      <x:c r="E92" s="15" t="str">
        <x:v>Delhi</x:v>
      </x:c>
      <x:c r="F92" s="15" t="str">
        <x:v>Active</x:v>
      </x:c>
      <x:c r="G92" s="15" t="n">
        <x:v>45510</x:v>
      </x:c>
    </x:row>
    <x:row r="93">
      <x:c r="A93" s="15" t="str">
        <x:v>CUST0092</x:v>
      </x:c>
      <x:c r="B93" s="15" t="str">
        <x:v>Customer 092</x:v>
      </x:c>
      <x:c r="C93" s="15" t="str">
        <x:v>SMB</x:v>
      </x:c>
      <x:c r="D93" s="15" t="str">
        <x:v>North</x:v>
      </x:c>
      <x:c r="E93" s="15" t="str">
        <x:v>Delhi</x:v>
      </x:c>
      <x:c r="F93" s="15" t="str">
        <x:v>Inactive</x:v>
      </x:c>
      <x:c r="G93" s="15" t="n">
        <x:v>45532</x:v>
      </x:c>
    </x:row>
    <x:row r="94">
      <x:c r="A94" s="15" t="str">
        <x:v>CUST0093</x:v>
      </x:c>
      <x:c r="B94" s="15" t="str">
        <x:v>Customer 093</x:v>
      </x:c>
      <x:c r="C94" s="15" t="str">
        <x:v>Retail</x:v>
      </x:c>
      <x:c r="D94" s="15" t="str">
        <x:v>South</x:v>
      </x:c>
      <x:c r="E94" s="15" t="str">
        <x:v>Chennai</x:v>
      </x:c>
      <x:c r="F94" s="15" t="str">
        <x:v>Active</x:v>
      </x:c>
      <x:c r="G94" s="15" t="n">
        <x:v>45785</x:v>
      </x:c>
    </x:row>
    <x:row r="95">
      <x:c r="A95" s="15" t="str">
        <x:v>CUST0094</x:v>
      </x:c>
      <x:c r="B95" s="15" t="str">
        <x:v>Customer 094</x:v>
      </x:c>
      <x:c r="C95" s="15" t="str">
        <x:v>Retail</x:v>
      </x:c>
      <x:c r="D95" s="15" t="str">
        <x:v>East</x:v>
      </x:c>
      <x:c r="E95" s="15" t="str">
        <x:v>Bhubaneswar</x:v>
      </x:c>
      <x:c r="F95" s="15" t="str">
        <x:v>Active</x:v>
      </x:c>
      <x:c r="G95" s="15" t="n">
        <x:v>45368</x:v>
      </x:c>
    </x:row>
    <x:row r="96">
      <x:c r="A96" s="15" t="str">
        <x:v>CUST0095</x:v>
      </x:c>
      <x:c r="B96" s="15" t="str">
        <x:v>Customer 095</x:v>
      </x:c>
      <x:c r="C96" s="15" t="str">
        <x:v>SMB</x:v>
      </x:c>
      <x:c r="D96" s="15" t="str">
        <x:v>West</x:v>
      </x:c>
      <x:c r="E96" s="15" t="str">
        <x:v>Ahmedabad</x:v>
      </x:c>
      <x:c r="F96" s="15" t="str">
        <x:v>Inactive</x:v>
      </x:c>
      <x:c r="G96" s="15" t="n">
        <x:v>45343</x:v>
      </x:c>
    </x:row>
    <x:row r="97">
      <x:c r="A97" s="15" t="str">
        <x:v>CUST0096</x:v>
      </x:c>
      <x:c r="B97" s="15" t="str">
        <x:v>Customer 096</x:v>
      </x:c>
      <x:c r="C97" s="15" t="str">
        <x:v>Enterprise</x:v>
      </x:c>
      <x:c r="D97" s="15" t="str">
        <x:v>North</x:v>
      </x:c>
      <x:c r="E97" s="15" t="str">
        <x:v>Lucknow</x:v>
      </x:c>
      <x:c r="F97" s="15" t="str">
        <x:v>Active</x:v>
      </x:c>
      <x:c r="G97" s="15" t="n">
        <x:v>45320</x:v>
      </x:c>
    </x:row>
    <x:row r="98">
      <x:c r="A98" s="15" t="str">
        <x:v>CUST0097</x:v>
      </x:c>
      <x:c r="B98" s="15" t="str">
        <x:v>Customer 097</x:v>
      </x:c>
      <x:c r="C98" s="15" t="str">
        <x:v>Retail</x:v>
      </x:c>
      <x:c r="D98" s="15" t="str">
        <x:v>North</x:v>
      </x:c>
      <x:c r="E98" s="15" t="str">
        <x:v>Jaipur</x:v>
      </x:c>
      <x:c r="F98" s="15" t="str">
        <x:v>Active</x:v>
      </x:c>
      <x:c r="G98" s="15" t="n">
        <x:v>45457</x:v>
      </x:c>
    </x:row>
    <x:row r="99">
      <x:c r="A99" s="15" t="str">
        <x:v>CUST0098</x:v>
      </x:c>
      <x:c r="B99" s="15" t="str">
        <x:v>Customer 098</x:v>
      </x:c>
      <x:c r="C99" s="15" t="str">
        <x:v>Retail</x:v>
      </x:c>
      <x:c r="D99" s="15" t="str">
        <x:v>West</x:v>
      </x:c>
      <x:c r="E99" s="15" t="str">
        <x:v>Pune</x:v>
      </x:c>
      <x:c r="F99" s="15" t="str">
        <x:v>Active</x:v>
      </x:c>
      <x:c r="G99" s="15" t="n">
        <x:v>45561</x:v>
      </x:c>
    </x:row>
    <x:row r="100">
      <x:c r="A100" s="15" t="str">
        <x:v>CUST0099</x:v>
      </x:c>
      <x:c r="B100" s="15" t="str">
        <x:v>Customer 099</x:v>
      </x:c>
      <x:c r="C100" s="15" t="str">
        <x:v>SMB</x:v>
      </x:c>
      <x:c r="D100" s="15" t="str">
        <x:v>North</x:v>
      </x:c>
      <x:c r="E100" s="15" t="str">
        <x:v>Lucknow</x:v>
      </x:c>
      <x:c r="F100" s="15" t="str">
        <x:v>Active</x:v>
      </x:c>
      <x:c r="G100" s="15" t="n">
        <x:v>45707</x:v>
      </x:c>
    </x:row>
    <x:row r="101">
      <x:c r="A101" s="15" t="str">
        <x:v>CUST0100</x:v>
      </x:c>
      <x:c r="B101" s="15" t="str">
        <x:v>Customer 100</x:v>
      </x:c>
      <x:c r="C101" s="15" t="str">
        <x:v>Corporate</x:v>
      </x:c>
      <x:c r="D101" s="15" t="str">
        <x:v>West</x:v>
      </x:c>
      <x:c r="E101" s="15" t="str">
        <x:v>Mumbai</x:v>
      </x:c>
      <x:c r="F101" s="15" t="str">
        <x:v>Active</x:v>
      </x:c>
      <x:c r="G101" s="15" t="n">
        <x:v>45798</x:v>
      </x:c>
    </x:row>
  </x:sheetData>
  <x:pageMargins left="0.7" right="0.7" top="0.75" bottom="0.75" header="0.3" footer="0.3"/>
  <x:tableParts count="1">
    <x:tablePart xmlns:r="http://schemas.openxmlformats.org/officeDocument/2006/relationships" r:id="R7b6b7ead28b4495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4.25" hidden="0" customWidth="1"/>
    <x:col min="3" max="3" width="11.5" hidden="0" customWidth="1"/>
    <x:col min="4" max="4" width="10.130000114440918" hidden="0" customWidth="1"/>
    <x:col min="5" max="5" width="10.75" hidden="0" customWidth="1"/>
    <x:col min="6" max="6" width="7.380000114440918" hidden="0" customWidth="1"/>
    <x:col min="7" max="7" width="10.380000114440918" hidden="0" customWidth="1"/>
  </x:cols>
  <x:sheetData>
    <x:row r="1">
      <x:c r="A1" s="22" t="str">
        <x:v>product_id</x:v>
      </x:c>
      <x:c r="B1" s="22" t="str">
        <x:v>product_name</x:v>
      </x:c>
      <x:c r="C1" s="22" t="str">
        <x:v>category</x:v>
      </x:c>
      <x:c r="D1" s="40" t="str">
        <x:v>unit_cost</x:v>
      </x:c>
      <x:c r="E1" s="40" t="str">
        <x:v>unit_price</x:v>
      </x:c>
      <x:c r="F1" s="22" t="str">
        <x:v>tier</x:v>
      </x:c>
      <x:c r="G1" s="22" t="str">
        <x:v>status</x:v>
      </x:c>
    </x:row>
    <x:row r="2">
      <x:c r="A2" s="15" t="str">
        <x:v>PROD001</x:v>
      </x:c>
      <x:c r="B2" s="15" t="str">
        <x:v>Product 001</x:v>
      </x:c>
      <x:c r="C2" s="15" t="str">
        <x:v>Office Supplies</x:v>
      </x:c>
      <x:c r="D2" s="15" t="n">
        <x:v>6163</x:v>
      </x:c>
      <x:c r="E2" s="15" t="n">
        <x:v>8672.7</x:v>
      </x:c>
      <x:c r="F2" s="15" t="str">
        <x:v>Standard</x:v>
      </x:c>
      <x:c r="G2" s="15" t="str">
        <x:v>Active</x:v>
      </x:c>
    </x:row>
    <x:row r="3">
      <x:c r="A3" s="15" t="str">
        <x:v>PROD002</x:v>
      </x:c>
      <x:c r="B3" s="15" t="str">
        <x:v>Product 002</x:v>
      </x:c>
      <x:c r="C3" s="15" t="str">
        <x:v>Accessories</x:v>
      </x:c>
      <x:c r="D3" s="15" t="n">
        <x:v>3133</x:v>
      </x:c>
      <x:c r="E3" s="15" t="n">
        <x:v>4655.92</x:v>
      </x:c>
      <x:c r="F3" s="15" t="str">
        <x:v>Budget</x:v>
      </x:c>
      <x:c r="G3" s="15" t="str">
        <x:v>Discontinued</x:v>
      </x:c>
    </x:row>
    <x:row r="4">
      <x:c r="A4" s="15" t="str">
        <x:v>PROD003</x:v>
      </x:c>
      <x:c r="B4" s="15" t="str">
        <x:v>Product 003</x:v>
      </x:c>
      <x:c r="C4" s="15" t="str">
        <x:v>Accessories</x:v>
      </x:c>
      <x:c r="D4" s="15" t="n">
        <x:v>7421</x:v>
      </x:c>
      <x:c r="E4" s="15" t="n">
        <x:v>10757.89</x:v>
      </x:c>
      <x:c r="F4" s="15" t="str">
        <x:v>Premium</x:v>
      </x:c>
      <x:c r="G4" s="15" t="str">
        <x:v>Active</x:v>
      </x:c>
    </x:row>
    <x:row r="5">
      <x:c r="A5" s="15" t="str">
        <x:v>PROD004</x:v>
      </x:c>
      <x:c r="B5" s="15" t="str">
        <x:v>Product 004</x:v>
      </x:c>
      <x:c r="C5" s="15" t="str">
        <x:v>Office Supplies</x:v>
      </x:c>
      <x:c r="D5" s="15" t="n">
        <x:v>4141</x:v>
      </x:c>
      <x:c r="E5" s="15" t="n">
        <x:v>5435.39</x:v>
      </x:c>
      <x:c r="F5" s="15" t="str">
        <x:v>Budget</x:v>
      </x:c>
      <x:c r="G5" s="15" t="str">
        <x:v>Active</x:v>
      </x:c>
    </x:row>
    <x:row r="6">
      <x:c r="A6" s="15" t="str">
        <x:v>PROD005</x:v>
      </x:c>
      <x:c r="B6" s="15" t="str">
        <x:v>Product 005</x:v>
      </x:c>
      <x:c r="C6" s="15" t="str">
        <x:v>Office Supplies</x:v>
      </x:c>
      <x:c r="D6" s="15" t="n">
        <x:v>4848</x:v>
      </x:c>
      <x:c r="E6" s="15" t="n">
        <x:v>6453.62</x:v>
      </x:c>
      <x:c r="F6" s="15" t="str">
        <x:v>Standard</x:v>
      </x:c>
      <x:c r="G6" s="15" t="str">
        <x:v>Discontinued</x:v>
      </x:c>
    </x:row>
    <x:row r="7">
      <x:c r="A7" s="15" t="str">
        <x:v>PROD006</x:v>
      </x:c>
      <x:c r="B7" s="15" t="str">
        <x:v>Product 006</x:v>
      </x:c>
      <x:c r="C7" s="15" t="str">
        <x:v>Office Supplies</x:v>
      </x:c>
      <x:c r="D7" s="15" t="n">
        <x:v>3067</x:v>
      </x:c>
      <x:c r="E7" s="15" t="n">
        <x:v>4261.26</x:v>
      </x:c>
      <x:c r="F7" s="15" t="str">
        <x:v>Budget</x:v>
      </x:c>
      <x:c r="G7" s="15" t="str">
        <x:v>Active</x:v>
      </x:c>
    </x:row>
    <x:row r="8">
      <x:c r="A8" s="15" t="str">
        <x:v>PROD007</x:v>
      </x:c>
      <x:c r="B8" s="15" t="str">
        <x:v>Product 007</x:v>
      </x:c>
      <x:c r="C8" s="15" t="str">
        <x:v>Electronics</x:v>
      </x:c>
      <x:c r="D8" s="15" t="n">
        <x:v>3941</x:v>
      </x:c>
      <x:c r="E8" s="15" t="n">
        <x:v>5013.07</x:v>
      </x:c>
      <x:c r="F8" s="15" t="str">
        <x:v>Budget</x:v>
      </x:c>
      <x:c r="G8" s="15" t="str">
        <x:v>Active</x:v>
      </x:c>
    </x:row>
    <x:row r="9">
      <x:c r="A9" s="15" t="str">
        <x:v>PROD008</x:v>
      </x:c>
      <x:c r="B9" s="15" t="str">
        <x:v>Product 008</x:v>
      </x:c>
      <x:c r="C9" s="15" t="str">
        <x:v>Office Supplies</x:v>
      </x:c>
      <x:c r="D9" s="15" t="n">
        <x:v>6197</x:v>
      </x:c>
      <x:c r="E9" s="15" t="n">
        <x:v>8534.48</x:v>
      </x:c>
      <x:c r="F9" s="15" t="str">
        <x:v>Standard</x:v>
      </x:c>
      <x:c r="G9" s="15" t="str">
        <x:v>Active</x:v>
      </x:c>
    </x:row>
    <x:row r="10">
      <x:c r="A10" s="15" t="str">
        <x:v>PROD009</x:v>
      </x:c>
      <x:c r="B10" s="15" t="str">
        <x:v>Product 009</x:v>
      </x:c>
      <x:c r="C10" s="15" t="str">
        <x:v>Accessories</x:v>
      </x:c>
      <x:c r="D10" s="15" t="n">
        <x:v>3213</x:v>
      </x:c>
      <x:c r="E10" s="15" t="n">
        <x:v>4722.96</x:v>
      </x:c>
      <x:c r="F10" s="15" t="str">
        <x:v>Standard</x:v>
      </x:c>
      <x:c r="G10" s="15" t="str">
        <x:v>Active</x:v>
      </x:c>
    </x:row>
    <x:row r="11">
      <x:c r="A11" s="15" t="str">
        <x:v>PROD010</x:v>
      </x:c>
      <x:c r="B11" s="15" t="str">
        <x:v>Product 010</x:v>
      </x:c>
      <x:c r="C11" s="15" t="str">
        <x:v>Accessories</x:v>
      </x:c>
      <x:c r="D11" s="15" t="n">
        <x:v>5853</x:v>
      </x:c>
      <x:c r="E11" s="15" t="n">
        <x:v>8670.63</x:v>
      </x:c>
      <x:c r="F11" s="15" t="str">
        <x:v>Budget</x:v>
      </x:c>
      <x:c r="G11" s="15" t="str">
        <x:v>Discontinued</x:v>
      </x:c>
    </x:row>
    <x:row r="12">
      <x:c r="A12" s="15" t="str">
        <x:v>PROD011</x:v>
      </x:c>
      <x:c r="B12" s="15" t="str">
        <x:v>Product 011</x:v>
      </x:c>
      <x:c r="C12" s="15" t="str">
        <x:v>Accessories</x:v>
      </x:c>
      <x:c r="D12" s="15" t="n">
        <x:v>5203</x:v>
      </x:c>
      <x:c r="E12" s="15" t="n">
        <x:v>7135.27</x:v>
      </x:c>
      <x:c r="F12" s="15" t="str">
        <x:v>Premium</x:v>
      </x:c>
      <x:c r="G12" s="15" t="str">
        <x:v>Active</x:v>
      </x:c>
    </x:row>
    <x:row r="13">
      <x:c r="A13" s="15" t="str">
        <x:v>PROD012</x:v>
      </x:c>
      <x:c r="B13" s="15" t="str">
        <x:v>Product 012</x:v>
      </x:c>
      <x:c r="C13" s="15" t="str">
        <x:v>Electronics</x:v>
      </x:c>
      <x:c r="D13" s="15" t="n">
        <x:v>6485</x:v>
      </x:c>
      <x:c r="E13" s="15" t="n">
        <x:v>7989.38</x:v>
      </x:c>
      <x:c r="F13" s="15" t="str">
        <x:v>Budget</x:v>
      </x:c>
      <x:c r="G13" s="15" t="str">
        <x:v>Active</x:v>
      </x:c>
    </x:row>
    <x:row r="14">
      <x:c r="A14" s="15" t="str">
        <x:v>PROD013</x:v>
      </x:c>
      <x:c r="B14" s="15" t="str">
        <x:v>Product 013</x:v>
      </x:c>
      <x:c r="C14" s="15" t="str">
        <x:v>Furniture</x:v>
      </x:c>
      <x:c r="D14" s="15" t="n">
        <x:v>6077</x:v>
      </x:c>
      <x:c r="E14" s="15" t="n">
        <x:v>7614.02</x:v>
      </x:c>
      <x:c r="F14" s="15" t="str">
        <x:v>Budget</x:v>
      </x:c>
      <x:c r="G14" s="15" t="str">
        <x:v>Active</x:v>
      </x:c>
    </x:row>
    <x:row r="15">
      <x:c r="A15" s="15" t="str">
        <x:v>PROD014</x:v>
      </x:c>
      <x:c r="B15" s="15" t="str">
        <x:v>Product 014</x:v>
      </x:c>
      <x:c r="C15" s="15" t="str">
        <x:v>Office Supplies</x:v>
      </x:c>
      <x:c r="D15" s="15" t="n">
        <x:v>1233</x:v>
      </x:c>
      <x:c r="E15" s="15" t="n">
        <x:v>1611.65</x:v>
      </x:c>
      <x:c r="F15" s="15" t="str">
        <x:v>Premium</x:v>
      </x:c>
      <x:c r="G15" s="15" t="str">
        <x:v>Active</x:v>
      </x:c>
    </x:row>
    <x:row r="16">
      <x:c r="A16" s="15" t="str">
        <x:v>PROD015</x:v>
      </x:c>
      <x:c r="B16" s="15" t="str">
        <x:v>Product 015</x:v>
      </x:c>
      <x:c r="C16" s="15" t="str">
        <x:v>Electronics</x:v>
      </x:c>
      <x:c r="D16" s="15" t="n">
        <x:v>4785</x:v>
      </x:c>
      <x:c r="E16" s="15" t="n">
        <x:v>5903.1</x:v>
      </x:c>
      <x:c r="F16" s="15" t="str">
        <x:v>Standard</x:v>
      </x:c>
      <x:c r="G16" s="15" t="str">
        <x:v>Active</x:v>
      </x:c>
    </x:row>
    <x:row r="17">
      <x:c r="A17" s="15" t="str">
        <x:v>PROD016</x:v>
      </x:c>
      <x:c r="B17" s="15" t="str">
        <x:v>Product 016</x:v>
      </x:c>
      <x:c r="C17" s="15" t="str">
        <x:v>Electronics</x:v>
      </x:c>
      <x:c r="D17" s="15" t="n">
        <x:v>3047</x:v>
      </x:c>
      <x:c r="E17" s="15" t="n">
        <x:v>3884.33</x:v>
      </x:c>
      <x:c r="F17" s="15" t="str">
        <x:v>Budget</x:v>
      </x:c>
      <x:c r="G17" s="15" t="str">
        <x:v>Active</x:v>
      </x:c>
    </x:row>
    <x:row r="18">
      <x:c r="A18" s="15" t="str">
        <x:v>PROD017</x:v>
      </x:c>
      <x:c r="B18" s="15" t="str">
        <x:v>Product 017</x:v>
      </x:c>
      <x:c r="C18" s="15" t="str">
        <x:v>Accessories</x:v>
      </x:c>
      <x:c r="D18" s="15" t="n">
        <x:v>5258</x:v>
      </x:c>
      <x:c r="E18" s="15" t="n">
        <x:v>7311.62</x:v>
      </x:c>
      <x:c r="F18" s="15" t="str">
        <x:v>Premium</x:v>
      </x:c>
      <x:c r="G18" s="15" t="str">
        <x:v>Active</x:v>
      </x:c>
    </x:row>
    <x:row r="19">
      <x:c r="A19" s="15" t="str">
        <x:v>PROD018</x:v>
      </x:c>
      <x:c r="B19" s="15" t="str">
        <x:v>Product 018</x:v>
      </x:c>
      <x:c r="C19" s="15" t="str">
        <x:v>Electronics</x:v>
      </x:c>
      <x:c r="D19" s="15" t="n">
        <x:v>4211</x:v>
      </x:c>
      <x:c r="E19" s="15" t="n">
        <x:v>5637.8</x:v>
      </x:c>
      <x:c r="F19" s="15" t="str">
        <x:v>Budget</x:v>
      </x:c>
      <x:c r="G19" s="15" t="str">
        <x:v>Active</x:v>
      </x:c>
    </x:row>
    <x:row r="20">
      <x:c r="A20" s="15" t="str">
        <x:v>PROD019</x:v>
      </x:c>
      <x:c r="B20" s="15" t="str">
        <x:v>Product 019</x:v>
      </x:c>
      <x:c r="C20" s="15" t="str">
        <x:v>Electronics</x:v>
      </x:c>
      <x:c r="D20" s="15" t="n">
        <x:v>4510</x:v>
      </x:c>
      <x:c r="E20" s="15" t="n">
        <x:v>5996.29</x:v>
      </x:c>
      <x:c r="F20" s="15" t="str">
        <x:v>Budget</x:v>
      </x:c>
      <x:c r="G20" s="15" t="str">
        <x:v>Discontinued</x:v>
      </x:c>
    </x:row>
    <x:row r="21">
      <x:c r="A21" s="15" t="str">
        <x:v>PROD020</x:v>
      </x:c>
      <x:c r="B21" s="15" t="str">
        <x:v>Product 020</x:v>
      </x:c>
      <x:c r="C21" s="15" t="str">
        <x:v>Accessories</x:v>
      </x:c>
      <x:c r="D21" s="15" t="n">
        <x:v>4585</x:v>
      </x:c>
      <x:c r="E21" s="15" t="n">
        <x:v>6564.04</x:v>
      </x:c>
      <x:c r="F21" s="15" t="str">
        <x:v>Budget</x:v>
      </x:c>
      <x:c r="G21" s="15" t="str">
        <x:v>Active</x:v>
      </x:c>
    </x:row>
    <x:row r="22">
      <x:c r="A22" s="15" t="str">
        <x:v>PROD021</x:v>
      </x:c>
      <x:c r="B22" s="15" t="str">
        <x:v>Product 021</x:v>
      </x:c>
      <x:c r="C22" s="15" t="str">
        <x:v>Electronics</x:v>
      </x:c>
      <x:c r="D22" s="15" t="n">
        <x:v>4999</x:v>
      </x:c>
      <x:c r="E22" s="15" t="n">
        <x:v>6748.85</x:v>
      </x:c>
      <x:c r="F22" s="15" t="str">
        <x:v>Budget</x:v>
      </x:c>
      <x:c r="G22" s="15" t="str">
        <x:v>Active</x:v>
      </x:c>
    </x:row>
    <x:row r="23">
      <x:c r="A23" s="15" t="str">
        <x:v>PROD022</x:v>
      </x:c>
      <x:c r="B23" s="15" t="str">
        <x:v>Product 022</x:v>
      </x:c>
      <x:c r="C23" s="15" t="str">
        <x:v>Furniture</x:v>
      </x:c>
      <x:c r="D23" s="15" t="n">
        <x:v>6331</x:v>
      </x:c>
      <x:c r="E23" s="15" t="n">
        <x:v>7775.36</x:v>
      </x:c>
      <x:c r="F23" s="15" t="str">
        <x:v>Budget</x:v>
      </x:c>
      <x:c r="G23" s="15" t="str">
        <x:v>Discontinued</x:v>
      </x:c>
    </x:row>
    <x:row r="24">
      <x:c r="A24" s="15" t="str">
        <x:v>PROD023</x:v>
      </x:c>
      <x:c r="B24" s="15" t="str">
        <x:v>Product 023</x:v>
      </x:c>
      <x:c r="C24" s="15" t="str">
        <x:v>Electronics</x:v>
      </x:c>
      <x:c r="D24" s="15" t="n">
        <x:v>3958</x:v>
      </x:c>
      <x:c r="E24" s="15" t="n">
        <x:v>5153.56</x:v>
      </x:c>
      <x:c r="F24" s="15" t="str">
        <x:v>Premium</x:v>
      </x:c>
      <x:c r="G24" s="15" t="str">
        <x:v>Active</x:v>
      </x:c>
    </x:row>
    <x:row r="25">
      <x:c r="A25" s="15" t="str">
        <x:v>PROD024</x:v>
      </x:c>
      <x:c r="B25" s="15" t="str">
        <x:v>Product 024</x:v>
      </x:c>
      <x:c r="C25" s="15" t="str">
        <x:v>Furniture</x:v>
      </x:c>
      <x:c r="D25" s="15" t="n">
        <x:v>3192</x:v>
      </x:c>
      <x:c r="E25" s="15" t="n">
        <x:v>4018</x:v>
      </x:c>
      <x:c r="F25" s="15" t="str">
        <x:v>Budget</x:v>
      </x:c>
      <x:c r="G25" s="15" t="str">
        <x:v>Discontinued</x:v>
      </x:c>
    </x:row>
    <x:row r="26">
      <x:c r="A26" s="15" t="str">
        <x:v>PROD025</x:v>
      </x:c>
      <x:c r="B26" s="15" t="str">
        <x:v>Product 025</x:v>
      </x:c>
      <x:c r="C26" s="15" t="str">
        <x:v>Furniture</x:v>
      </x:c>
      <x:c r="D26" s="15" t="n">
        <x:v>878</x:v>
      </x:c>
      <x:c r="E26" s="15" t="n">
        <x:v>1148.84</x:v>
      </x:c>
      <x:c r="F26" s="15" t="str">
        <x:v>Budget</x:v>
      </x:c>
      <x:c r="G26" s="15" t="str">
        <x:v>Discontinued</x:v>
      </x:c>
    </x:row>
    <x:row r="27">
      <x:c r="A27" s="15" t="str">
        <x:v>PROD026</x:v>
      </x:c>
      <x:c r="B27" s="15" t="str">
        <x:v>Product 026</x:v>
      </x:c>
      <x:c r="C27" s="15" t="str">
        <x:v>Accessories</x:v>
      </x:c>
      <x:c r="D27" s="15" t="n">
        <x:v>2634</x:v>
      </x:c>
      <x:c r="E27" s="15" t="n">
        <x:v>3848.69</x:v>
      </x:c>
      <x:c r="F27" s="15" t="str">
        <x:v>Standard</x:v>
      </x:c>
      <x:c r="G27" s="15" t="str">
        <x:v>Discontinued</x:v>
      </x:c>
    </x:row>
    <x:row r="28">
      <x:c r="A28" s="15" t="str">
        <x:v>PROD027</x:v>
      </x:c>
      <x:c r="B28" s="15" t="str">
        <x:v>Product 027</x:v>
      </x:c>
      <x:c r="C28" s="15" t="str">
        <x:v>Electronics</x:v>
      </x:c>
      <x:c r="D28" s="15" t="n">
        <x:v>5637</x:v>
      </x:c>
      <x:c r="E28" s="15" t="n">
        <x:v>6979.71</x:v>
      </x:c>
      <x:c r="F28" s="15" t="str">
        <x:v>Premium</x:v>
      </x:c>
      <x:c r="G28" s="15" t="str">
        <x:v>Active</x:v>
      </x:c>
    </x:row>
    <x:row r="29">
      <x:c r="A29" s="15" t="str">
        <x:v>PROD028</x:v>
      </x:c>
      <x:c r="B29" s="15" t="str">
        <x:v>Product 028</x:v>
      </x:c>
      <x:c r="C29" s="15" t="str">
        <x:v>Office Supplies</x:v>
      </x:c>
      <x:c r="D29" s="15" t="n">
        <x:v>3534</x:v>
      </x:c>
      <x:c r="E29" s="15" t="n">
        <x:v>4640.74</x:v>
      </x:c>
      <x:c r="F29" s="15" t="str">
        <x:v>Standard</x:v>
      </x:c>
      <x:c r="G29" s="15" t="str">
        <x:v>Active</x:v>
      </x:c>
    </x:row>
    <x:row r="30">
      <x:c r="A30" s="15" t="str">
        <x:v>PROD029</x:v>
      </x:c>
      <x:c r="B30" s="15" t="str">
        <x:v>Product 029</x:v>
      </x:c>
      <x:c r="C30" s="15" t="str">
        <x:v>Office Supplies</x:v>
      </x:c>
      <x:c r="D30" s="15" t="n">
        <x:v>6185</x:v>
      </x:c>
      <x:c r="E30" s="15" t="n">
        <x:v>8430.77</x:v>
      </x:c>
      <x:c r="F30" s="15" t="str">
        <x:v>Budget</x:v>
      </x:c>
      <x:c r="G30" s="15" t="str">
        <x:v>Active</x:v>
      </x:c>
    </x:row>
    <x:row r="31">
      <x:c r="A31" s="15" t="str">
        <x:v>PROD030</x:v>
      </x:c>
      <x:c r="B31" s="15" t="str">
        <x:v>Product 030</x:v>
      </x:c>
      <x:c r="C31" s="15" t="str">
        <x:v>Office Supplies</x:v>
      </x:c>
      <x:c r="D31" s="15" t="n">
        <x:v>3888</x:v>
      </x:c>
      <x:c r="E31" s="15" t="n">
        <x:v>5180.7</x:v>
      </x:c>
      <x:c r="F31" s="15" t="str">
        <x:v>Premium</x:v>
      </x:c>
      <x:c r="G31" s="15" t="str">
        <x:v>Active</x:v>
      </x:c>
    </x:row>
    <x:row r="32">
      <x:c r="A32" s="15" t="str">
        <x:v>PROD031</x:v>
      </x:c>
      <x:c r="B32" s="15" t="str">
        <x:v>Product 031</x:v>
      </x:c>
      <x:c r="C32" s="15" t="str">
        <x:v>Furniture</x:v>
      </x:c>
      <x:c r="D32" s="15" t="n">
        <x:v>2797</x:v>
      </x:c>
      <x:c r="E32" s="15" t="n">
        <x:v>3371.81</x:v>
      </x:c>
      <x:c r="F32" s="15" t="str">
        <x:v>Budget</x:v>
      </x:c>
      <x:c r="G32" s="15" t="str">
        <x:v>Discontinued</x:v>
      </x:c>
    </x:row>
    <x:row r="33">
      <x:c r="A33" s="15" t="str">
        <x:v>PROD032</x:v>
      </x:c>
      <x:c r="B33" s="15" t="str">
        <x:v>Product 032</x:v>
      </x:c>
      <x:c r="C33" s="15" t="str">
        <x:v>Electronics</x:v>
      </x:c>
      <x:c r="D33" s="15" t="n">
        <x:v>5077</x:v>
      </x:c>
      <x:c r="E33" s="15" t="n">
        <x:v>6307.06</x:v>
      </x:c>
      <x:c r="F33" s="15" t="str">
        <x:v>Budget</x:v>
      </x:c>
      <x:c r="G33" s="15" t="str">
        <x:v>Active</x:v>
      </x:c>
    </x:row>
    <x:row r="34">
      <x:c r="A34" s="15" t="str">
        <x:v>PROD033</x:v>
      </x:c>
      <x:c r="B34" s="15" t="str">
        <x:v>Product 033</x:v>
      </x:c>
      <x:c r="C34" s="15" t="str">
        <x:v>Furniture</x:v>
      </x:c>
      <x:c r="D34" s="15" t="n">
        <x:v>2991</x:v>
      </x:c>
      <x:c r="E34" s="15" t="n">
        <x:v>3912.41</x:v>
      </x:c>
      <x:c r="F34" s="15" t="str">
        <x:v>Standard</x:v>
      </x:c>
      <x:c r="G34" s="15" t="str">
        <x:v>Active</x:v>
      </x:c>
    </x:row>
    <x:row r="35">
      <x:c r="A35" s="15" t="str">
        <x:v>PROD034</x:v>
      </x:c>
      <x:c r="B35" s="15" t="str">
        <x:v>Product 034</x:v>
      </x:c>
      <x:c r="C35" s="15" t="str">
        <x:v>Accessories</x:v>
      </x:c>
      <x:c r="D35" s="15" t="n">
        <x:v>3776</x:v>
      </x:c>
      <x:c r="E35" s="15" t="n">
        <x:v>5451.76</x:v>
      </x:c>
      <x:c r="F35" s="15" t="str">
        <x:v>Standard</x:v>
      </x:c>
      <x:c r="G35" s="15" t="str">
        <x:v>Active</x:v>
      </x:c>
    </x:row>
    <x:row r="36">
      <x:c r="A36" s="15" t="str">
        <x:v>PROD035</x:v>
      </x:c>
      <x:c r="B36" s="15" t="str">
        <x:v>Product 035</x:v>
      </x:c>
      <x:c r="C36" s="15" t="str">
        <x:v>Electronics</x:v>
      </x:c>
      <x:c r="D36" s="15" t="n">
        <x:v>3187</x:v>
      </x:c>
      <x:c r="E36" s="15" t="n">
        <x:v>3972.26</x:v>
      </x:c>
      <x:c r="F36" s="15" t="str">
        <x:v>Premium</x:v>
      </x:c>
      <x:c r="G36" s="15" t="str">
        <x:v>Active</x:v>
      </x:c>
    </x:row>
    <x:row r="37">
      <x:c r="A37" s="15" t="str">
        <x:v>PROD036</x:v>
      </x:c>
      <x:c r="B37" s="15" t="str">
        <x:v>Product 036</x:v>
      </x:c>
      <x:c r="C37" s="15" t="str">
        <x:v>Accessories</x:v>
      </x:c>
      <x:c r="D37" s="15" t="n">
        <x:v>5171</x:v>
      </x:c>
      <x:c r="E37" s="15" t="n">
        <x:v>7158.64</x:v>
      </x:c>
      <x:c r="F37" s="15" t="str">
        <x:v>Premium</x:v>
      </x:c>
      <x:c r="G37" s="15" t="str">
        <x:v>Discontinued</x:v>
      </x:c>
    </x:row>
    <x:row r="38">
      <x:c r="A38" s="15" t="str">
        <x:v>PROD037</x:v>
      </x:c>
      <x:c r="B38" s="15" t="str">
        <x:v>Product 037</x:v>
      </x:c>
      <x:c r="C38" s="15" t="str">
        <x:v>Accessories</x:v>
      </x:c>
      <x:c r="D38" s="15" t="n">
        <x:v>7124</x:v>
      </x:c>
      <x:c r="E38" s="15" t="n">
        <x:v>9876.8</x:v>
      </x:c>
      <x:c r="F38" s="15" t="str">
        <x:v>Standard</x:v>
      </x:c>
      <x:c r="G38" s="15" t="str">
        <x:v>Active</x:v>
      </x:c>
    </x:row>
    <x:row r="39">
      <x:c r="A39" s="15" t="str">
        <x:v>PROD038</x:v>
      </x:c>
      <x:c r="B39" s="15" t="str">
        <x:v>Product 038</x:v>
      </x:c>
      <x:c r="C39" s="15" t="str">
        <x:v>Office Supplies</x:v>
      </x:c>
      <x:c r="D39" s="15" t="n">
        <x:v>3936</x:v>
      </x:c>
      <x:c r="E39" s="15" t="n">
        <x:v>5219.7</x:v>
      </x:c>
      <x:c r="F39" s="15" t="str">
        <x:v>Budget</x:v>
      </x:c>
      <x:c r="G39" s="15" t="str">
        <x:v>Active</x:v>
      </x:c>
    </x:row>
    <x:row r="40">
      <x:c r="A40" s="15" t="str">
        <x:v>PROD039</x:v>
      </x:c>
      <x:c r="B40" s="15" t="str">
        <x:v>Product 039</x:v>
      </x:c>
      <x:c r="C40" s="15" t="str">
        <x:v>Office Supplies</x:v>
      </x:c>
      <x:c r="D40" s="15" t="n">
        <x:v>4573</x:v>
      </x:c>
      <x:c r="E40" s="15" t="n">
        <x:v>5945.62</x:v>
      </x:c>
      <x:c r="F40" s="15" t="str">
        <x:v>Premium</x:v>
      </x:c>
      <x:c r="G40" s="15" t="str">
        <x:v>Active</x:v>
      </x:c>
    </x:row>
    <x:row r="41">
      <x:c r="A41" s="15" t="str">
        <x:v>PROD040</x:v>
      </x:c>
      <x:c r="B41" s="15" t="str">
        <x:v>Product 040</x:v>
      </x:c>
      <x:c r="C41" s="15" t="str">
        <x:v>Electronics</x:v>
      </x:c>
      <x:c r="D41" s="15" t="n">
        <x:v>6841</x:v>
      </x:c>
      <x:c r="E41" s="15" t="n">
        <x:v>8561.07</x:v>
      </x:c>
      <x:c r="F41" s="15" t="str">
        <x:v>Premium</x:v>
      </x:c>
      <x:c r="G41" s="15" t="str">
        <x:v>Discontinued</x:v>
      </x:c>
    </x:row>
  </x:sheetData>
  <x:pageMargins left="0.7" right="0.7" top="0.75" bottom="0.75" header="0.3" footer="0.3"/>
  <x:tableParts count="1">
    <x:tablePart xmlns:r="http://schemas.openxmlformats.org/officeDocument/2006/relationships" r:id="R7d341b6d12ca449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.75" hidden="0" customWidth="1"/>
    <x:col min="3" max="3" width="7.880000114440918" hidden="0" customWidth="1"/>
    <x:col min="4" max="4" width="7.630000114440918" hidden="0" customWidth="1"/>
    <x:col min="5" max="5" width="13.75" hidden="0" customWidth="1"/>
  </x:cols>
  <x:sheetData>
    <x:row r="1">
      <x:c r="A1" s="22" t="str">
        <x:v>rep_id</x:v>
      </x:c>
      <x:c r="B1" s="22" t="str">
        <x:v>rep_name</x:v>
      </x:c>
      <x:c r="C1" s="22" t="str">
        <x:v>region</x:v>
      </x:c>
      <x:c r="D1" s="22" t="str">
        <x:v>level</x:v>
      </x:c>
      <x:c r="E1" s="22" t="str">
        <x:v>annual_target</x:v>
      </x:c>
    </x:row>
    <x:row r="2">
      <x:c r="A2" s="15" t="str">
        <x:v>REP001</x:v>
      </x:c>
      <x:c r="B2" s="15" t="str">
        <x:v>Sales Rep 01</x:v>
      </x:c>
      <x:c r="C2" s="15" t="str">
        <x:v>South</x:v>
      </x:c>
      <x:c r="D2" s="15" t="str">
        <x:v>Senior</x:v>
      </x:c>
      <x:c r="E2" s="15" t="n">
        <x:v>714835</x:v>
      </x:c>
    </x:row>
    <x:row r="3">
      <x:c r="A3" s="15" t="str">
        <x:v>REP002</x:v>
      </x:c>
      <x:c r="B3" s="15" t="str">
        <x:v>Sales Rep 02</x:v>
      </x:c>
      <x:c r="C3" s="15" t="str">
        <x:v>West</x:v>
      </x:c>
      <x:c r="D3" s="15" t="str">
        <x:v>Junior</x:v>
      </x:c>
      <x:c r="E3" s="15" t="n">
        <x:v>630288</x:v>
      </x:c>
    </x:row>
    <x:row r="4">
      <x:c r="A4" s="15" t="str">
        <x:v>REP003</x:v>
      </x:c>
      <x:c r="B4" s="15" t="str">
        <x:v>Sales Rep 03</x:v>
      </x:c>
      <x:c r="C4" s="15" t="str">
        <x:v>North</x:v>
      </x:c>
      <x:c r="D4" s="15" t="str">
        <x:v>Executive</x:v>
      </x:c>
      <x:c r="E4" s="15" t="n">
        <x:v>413523</x:v>
      </x:c>
    </x:row>
    <x:row r="5">
      <x:c r="A5" s="15" t="str">
        <x:v>REP004</x:v>
      </x:c>
      <x:c r="B5" s="15" t="str">
        <x:v>Sales Rep 04</x:v>
      </x:c>
      <x:c r="C5" s="15" t="str">
        <x:v>East</x:v>
      </x:c>
      <x:c r="D5" s="15" t="str">
        <x:v>Senior</x:v>
      </x:c>
      <x:c r="E5" s="15" t="n">
        <x:v>512493</x:v>
      </x:c>
    </x:row>
    <x:row r="6">
      <x:c r="A6" s="15" t="str">
        <x:v>REP005</x:v>
      </x:c>
      <x:c r="B6" s="15" t="str">
        <x:v>Sales Rep 05</x:v>
      </x:c>
      <x:c r="C6" s="15" t="str">
        <x:v>South</x:v>
      </x:c>
      <x:c r="D6" s="15" t="str">
        <x:v>Junior</x:v>
      </x:c>
      <x:c r="E6" s="15" t="n">
        <x:v>631848</x:v>
      </x:c>
    </x:row>
    <x:row r="7">
      <x:c r="A7" s="15" t="str">
        <x:v>REP006</x:v>
      </x:c>
      <x:c r="B7" s="15" t="str">
        <x:v>Sales Rep 06</x:v>
      </x:c>
      <x:c r="C7" s="15" t="str">
        <x:v>West</x:v>
      </x:c>
      <x:c r="D7" s="15" t="str">
        <x:v>Junior</x:v>
      </x:c>
      <x:c r="E7" s="15" t="n">
        <x:v>1290407</x:v>
      </x:c>
    </x:row>
    <x:row r="8">
      <x:c r="A8" s="15" t="str">
        <x:v>REP007</x:v>
      </x:c>
      <x:c r="B8" s="15" t="str">
        <x:v>Sales Rep 07</x:v>
      </x:c>
      <x:c r="C8" s="15" t="str">
        <x:v>North</x:v>
      </x:c>
      <x:c r="D8" s="15" t="str">
        <x:v>Junior</x:v>
      </x:c>
      <x:c r="E8" s="15" t="n">
        <x:v>1075244</x:v>
      </x:c>
    </x:row>
    <x:row r="9">
      <x:c r="A9" s="15" t="str">
        <x:v>REP008</x:v>
      </x:c>
      <x:c r="B9" s="15" t="str">
        <x:v>Sales Rep 08</x:v>
      </x:c>
      <x:c r="C9" s="15" t="str">
        <x:v>East</x:v>
      </x:c>
      <x:c r="D9" s="15" t="str">
        <x:v>Junior</x:v>
      </x:c>
      <x:c r="E9" s="15" t="n">
        <x:v>918413</x:v>
      </x:c>
    </x:row>
    <x:row r="10">
      <x:c r="A10" s="15" t="str">
        <x:v>REP009</x:v>
      </x:c>
      <x:c r="B10" s="15" t="str">
        <x:v>Sales Rep 09</x:v>
      </x:c>
      <x:c r="C10" s="15" t="str">
        <x:v>South</x:v>
      </x:c>
      <x:c r="D10" s="15" t="str">
        <x:v>Executive</x:v>
      </x:c>
      <x:c r="E10" s="15" t="n">
        <x:v>969921</x:v>
      </x:c>
    </x:row>
    <x:row r="11">
      <x:c r="A11" s="15" t="str">
        <x:v>REP010</x:v>
      </x:c>
      <x:c r="B11" s="15" t="str">
        <x:v>Sales Rep 10</x:v>
      </x:c>
      <x:c r="C11" s="15" t="str">
        <x:v>West</x:v>
      </x:c>
      <x:c r="D11" s="15" t="str">
        <x:v>Executive</x:v>
      </x:c>
      <x:c r="E11" s="15" t="n">
        <x:v>492375</x:v>
      </x:c>
    </x:row>
    <x:row r="12">
      <x:c r="A12" s="15" t="str">
        <x:v>REP011</x:v>
      </x:c>
      <x:c r="B12" s="15" t="str">
        <x:v>Sales Rep 11</x:v>
      </x:c>
      <x:c r="C12" s="15" t="str">
        <x:v>North</x:v>
      </x:c>
      <x:c r="D12" s="15" t="str">
        <x:v>Executive</x:v>
      </x:c>
      <x:c r="E12" s="15" t="n">
        <x:v>1145400</x:v>
      </x:c>
    </x:row>
    <x:row r="13">
      <x:c r="A13" s="15" t="str">
        <x:v>REP012</x:v>
      </x:c>
      <x:c r="B13" s="15" t="str">
        <x:v>Sales Rep 12</x:v>
      </x:c>
      <x:c r="C13" s="15" t="str">
        <x:v>East</x:v>
      </x:c>
      <x:c r="D13" s="15" t="str">
        <x:v>Executive</x:v>
      </x:c>
      <x:c r="E13" s="15" t="n">
        <x:v>478356</x:v>
      </x:c>
    </x:row>
    <x:row r="14">
      <x:c r="A14" s="15" t="str">
        <x:v>REP013</x:v>
      </x:c>
      <x:c r="B14" s="15" t="str">
        <x:v>Sales Rep 13</x:v>
      </x:c>
      <x:c r="C14" s="15" t="str">
        <x:v>South</x:v>
      </x:c>
      <x:c r="D14" s="15" t="str">
        <x:v>Executive</x:v>
      </x:c>
      <x:c r="E14" s="15" t="n">
        <x:v>863173</x:v>
      </x:c>
    </x:row>
    <x:row r="15">
      <x:c r="A15" s="15" t="str">
        <x:v>REP014</x:v>
      </x:c>
      <x:c r="B15" s="15" t="str">
        <x:v>Sales Rep 14</x:v>
      </x:c>
      <x:c r="C15" s="15" t="str">
        <x:v>West</x:v>
      </x:c>
      <x:c r="D15" s="15" t="str">
        <x:v>Executive</x:v>
      </x:c>
      <x:c r="E15" s="15" t="n">
        <x:v>856782</x:v>
      </x:c>
    </x:row>
    <x:row r="16">
      <x:c r="A16" s="15" t="str">
        <x:v>REP015</x:v>
      </x:c>
      <x:c r="B16" s="15" t="str">
        <x:v>Sales Rep 15</x:v>
      </x:c>
      <x:c r="C16" s="15" t="str">
        <x:v>North</x:v>
      </x:c>
      <x:c r="D16" s="15" t="str">
        <x:v>Executive</x:v>
      </x:c>
      <x:c r="E16" s="15" t="n">
        <x:v>907642</x:v>
      </x:c>
    </x:row>
    <x:row r="17">
      <x:c r="A17" s="15" t="str">
        <x:v>REP016</x:v>
      </x:c>
      <x:c r="B17" s="15" t="str">
        <x:v>Sales Rep 16</x:v>
      </x:c>
      <x:c r="C17" s="15" t="str">
        <x:v>East</x:v>
      </x:c>
      <x:c r="D17" s="15" t="str">
        <x:v>Senior</x:v>
      </x:c>
      <x:c r="E17" s="15" t="n">
        <x:v>645447</x:v>
      </x:c>
    </x:row>
  </x:sheetData>
  <x:pageMargins left="0.7" right="0.7" top="0.75" bottom="0.75" header="0.3" footer="0.3"/>
  <x:tableParts count="1">
    <x:tablePart xmlns:r="http://schemas.openxmlformats.org/officeDocument/2006/relationships" r:id="R6f33be4285ce4de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1.5" hidden="0" customWidth="1"/>
    <x:col min="3" max="3" width="12.5" hidden="0" customWidth="1"/>
    <x:col min="4" max="4" width="8" hidden="0" customWidth="1"/>
    <x:col min="5" max="5" width="7.880000114440918" hidden="0" customWidth="1"/>
    <x:col min="6" max="6" width="10.75" hidden="0" customWidth="1"/>
    <x:col min="7" max="7" width="12.75" hidden="0" customWidth="1"/>
    <x:col min="8" max="8" width="9.25" hidden="0" customWidth="1"/>
  </x:cols>
  <x:sheetData>
    <x:row r="1">
      <x:c r="A1" s="22" t="str">
        <x:v>order_id</x:v>
      </x:c>
      <x:c r="B1" s="38" t="str">
        <x:v>order_date</x:v>
      </x:c>
      <x:c r="C1" s="22" t="str">
        <x:v>customer_id</x:v>
      </x:c>
      <x:c r="D1" s="22" t="str">
        <x:v>rep_id</x:v>
      </x:c>
      <x:c r="E1" s="22" t="str">
        <x:v>region</x:v>
      </x:c>
      <x:c r="F1" s="22" t="str">
        <x:v>city</x:v>
      </x:c>
      <x:c r="G1" s="22" t="str">
        <x:v>order_status</x:v>
      </x:c>
      <x:c r="H1" s="22" t="str">
        <x:v>channel</x:v>
      </x:c>
    </x:row>
    <x:row r="2">
      <x:c r="A2" s="15" t="str">
        <x:v>ORD00001</x:v>
      </x:c>
      <x:c r="B2" s="15" t="n">
        <x:v>45762</x:v>
      </x:c>
      <x:c r="C2" s="15" t="str">
        <x:v>CUST0040</x:v>
      </x:c>
      <x:c r="D2" s="15" t="str">
        <x:v>REP003</x:v>
      </x:c>
      <x:c r="E2" s="15" t="str">
        <x:v>North</x:v>
      </x:c>
      <x:c r="F2" s="15" t="str">
        <x:v>Delhi</x:v>
      </x:c>
      <x:c r="G2" s="15" t="str">
        <x:v>Delivered</x:v>
      </x:c>
      <x:c r="H2" s="15" t="str">
        <x:v>Direct Sales</x:v>
      </x:c>
    </x:row>
    <x:row r="3">
      <x:c r="A3" s="15" t="str">
        <x:v>ORD00002</x:v>
      </x:c>
      <x:c r="B3" s="15" t="n">
        <x:v>45984</x:v>
      </x:c>
      <x:c r="C3" s="15" t="str">
        <x:v>CUST0007</x:v>
      </x:c>
      <x:c r="D3" s="15" t="str">
        <x:v>REP004</x:v>
      </x:c>
      <x:c r="E3" s="15" t="str">
        <x:v>East</x:v>
      </x:c>
      <x:c r="F3" s="15" t="str">
        <x:v>Guwahati</x:v>
      </x:c>
      <x:c r="G3" s="15" t="str">
        <x:v>Delivered</x:v>
      </x:c>
      <x:c r="H3" s="15" t="str">
        <x:v>Online</x:v>
      </x:c>
    </x:row>
    <x:row r="4">
      <x:c r="A4" s="15" t="str">
        <x:v>ORD00003</x:v>
      </x:c>
      <x:c r="B4" s="15" t="n">
        <x:v>45889</x:v>
      </x:c>
      <x:c r="C4" s="15" t="str">
        <x:v>CUST0019</x:v>
      </x:c>
      <x:c r="D4" s="15" t="str">
        <x:v>REP011</x:v>
      </x:c>
      <x:c r="E4" s="15" t="str">
        <x:v>North</x:v>
      </x:c>
      <x:c r="F4" s="15" t="str">
        <x:v>Delhi</x:v>
      </x:c>
      <x:c r="G4" s="15" t="str">
        <x:v>Delivered</x:v>
      </x:c>
      <x:c r="H4" s="15" t="str">
        <x:v>Distributor</x:v>
      </x:c>
    </x:row>
    <x:row r="5">
      <x:c r="A5" s="15" t="str">
        <x:v>ORD00004</x:v>
      </x:c>
      <x:c r="B5" s="15" t="n">
        <x:v>45802</x:v>
      </x:c>
      <x:c r="C5" s="15" t="str">
        <x:v>CUST0080</x:v>
      </x:c>
      <x:c r="D5" s="15" t="str">
        <x:v>REP011</x:v>
      </x:c>
      <x:c r="E5" s="15" t="str">
        <x:v>North</x:v>
      </x:c>
      <x:c r="F5" s="15" t="str">
        <x:v>Jaipur</x:v>
      </x:c>
      <x:c r="G5" s="15" t="str">
        <x:v>Delivered</x:v>
      </x:c>
      <x:c r="H5" s="15" t="str">
        <x:v>Direct Sales</x:v>
      </x:c>
    </x:row>
    <x:row r="6">
      <x:c r="A6" s="15" t="str">
        <x:v>ORD00005</x:v>
      </x:c>
      <x:c r="B6" s="15" t="n">
        <x:v>45796</x:v>
      </x:c>
      <x:c r="C6" s="15" t="str">
        <x:v>CUST0091</x:v>
      </x:c>
      <x:c r="D6" s="15" t="str">
        <x:v>REP011</x:v>
      </x:c>
      <x:c r="E6" s="15" t="str">
        <x:v>North</x:v>
      </x:c>
      <x:c r="F6" s="15" t="str">
        <x:v>Delhi</x:v>
      </x:c>
      <x:c r="G6" s="15" t="str">
        <x:v>Delivered</x:v>
      </x:c>
      <x:c r="H6" s="15" t="str">
        <x:v>Distributor</x:v>
      </x:c>
    </x:row>
    <x:row r="7">
      <x:c r="A7" s="15" t="str">
        <x:v>ORD00006</x:v>
      </x:c>
      <x:c r="B7" s="15" t="n">
        <x:v>46069</x:v>
      </x:c>
      <x:c r="C7" s="15" t="str">
        <x:v>CUST0001</x:v>
      </x:c>
      <x:c r="D7" s="15" t="str">
        <x:v>REP014</x:v>
      </x:c>
      <x:c r="E7" s="15" t="str">
        <x:v>West</x:v>
      </x:c>
      <x:c r="F7" s="15" t="str">
        <x:v>Pune</x:v>
      </x:c>
      <x:c r="G7" s="15" t="str">
        <x:v>Cancelled</x:v>
      </x:c>
      <x:c r="H7" s="15" t="str">
        <x:v>Direct Sales</x:v>
      </x:c>
    </x:row>
    <x:row r="8">
      <x:c r="A8" s="15" t="str">
        <x:v>ORD00007</x:v>
      </x:c>
      <x:c r="B8" s="15" t="n">
        <x:v>46043</x:v>
      </x:c>
      <x:c r="C8" s="15" t="str">
        <x:v>CUST0081</x:v>
      </x:c>
      <x:c r="D8" s="15" t="str">
        <x:v>REP006</x:v>
      </x:c>
      <x:c r="E8" s="15" t="str">
        <x:v>West</x:v>
      </x:c>
      <x:c r="F8" s="15" t="str">
        <x:v>Mumbai</x:v>
      </x:c>
      <x:c r="G8" s="15" t="str">
        <x:v>Pending</x:v>
      </x:c>
      <x:c r="H8" s="15" t="str">
        <x:v>Direct Sales</x:v>
      </x:c>
    </x:row>
    <x:row r="9">
      <x:c r="A9" s="15" t="str">
        <x:v>ORD00008</x:v>
      </x:c>
      <x:c r="B9" s="15" t="n">
        <x:v>46093</x:v>
      </x:c>
      <x:c r="C9" s="15" t="str">
        <x:v>CUST0068</x:v>
      </x:c>
      <x:c r="D9" s="15" t="str">
        <x:v>REP012</x:v>
      </x:c>
      <x:c r="E9" s="15" t="str">
        <x:v>East</x:v>
      </x:c>
      <x:c r="F9" s="15" t="str">
        <x:v>Guwahati</x:v>
      </x:c>
      <x:c r="G9" s="15" t="str">
        <x:v>Delivered</x:v>
      </x:c>
      <x:c r="H9" s="15" t="str">
        <x:v>Direct Sales</x:v>
      </x:c>
    </x:row>
    <x:row r="10">
      <x:c r="A10" s="15" t="str">
        <x:v>ORD00009</x:v>
      </x:c>
      <x:c r="B10" s="15" t="n">
        <x:v>45999</x:v>
      </x:c>
      <x:c r="C10" s="15" t="str">
        <x:v>CUST0034</x:v>
      </x:c>
      <x:c r="D10" s="15" t="str">
        <x:v>REP016</x:v>
      </x:c>
      <x:c r="E10" s="15" t="str">
        <x:v>East</x:v>
      </x:c>
      <x:c r="F10" s="15" t="str">
        <x:v>Bhubaneswar</x:v>
      </x:c>
      <x:c r="G10" s="15" t="str">
        <x:v>Delivered</x:v>
      </x:c>
      <x:c r="H10" s="15" t="str">
        <x:v>Distributor</x:v>
      </x:c>
    </x:row>
    <x:row r="11">
      <x:c r="A11" s="15" t="str">
        <x:v>ORD00010</x:v>
      </x:c>
      <x:c r="B11" s="15" t="n">
        <x:v>46192</x:v>
      </x:c>
      <x:c r="C11" s="15" t="str">
        <x:v>CUST0084</x:v>
      </x:c>
      <x:c r="D11" s="15" t="str">
        <x:v>REP013</x:v>
      </x:c>
      <x:c r="E11" s="15" t="str">
        <x:v>South</x:v>
      </x:c>
      <x:c r="F11" s="15" t="str">
        <x:v>Chennai</x:v>
      </x:c>
      <x:c r="G11" s="15" t="str">
        <x:v>Delivered</x:v>
      </x:c>
      <x:c r="H11" s="15" t="str">
        <x:v>Direct Sales</x:v>
      </x:c>
    </x:row>
    <x:row r="12">
      <x:c r="A12" s="15" t="str">
        <x:v>ORD00011</x:v>
      </x:c>
      <x:c r="B12" s="15" t="n">
        <x:v>45775</x:v>
      </x:c>
      <x:c r="C12" s="15" t="str">
        <x:v>CUST0013</x:v>
      </x:c>
      <x:c r="D12" s="15" t="str">
        <x:v>REP010</x:v>
      </x:c>
      <x:c r="E12" s="15" t="str">
        <x:v>West</x:v>
      </x:c>
      <x:c r="F12" s="15" t="str">
        <x:v>Ahmedabad</x:v>
      </x:c>
      <x:c r="G12" s="15" t="str">
        <x:v>Cancelled</x:v>
      </x:c>
      <x:c r="H12" s="15" t="str">
        <x:v>Direct Sales</x:v>
      </x:c>
    </x:row>
    <x:row r="13">
      <x:c r="A13" s="15" t="str">
        <x:v>ORD00012</x:v>
      </x:c>
      <x:c r="B13" s="15" t="n">
        <x:v>45821</x:v>
      </x:c>
      <x:c r="C13" s="15" t="str">
        <x:v>CUST0074</x:v>
      </x:c>
      <x:c r="D13" s="15" t="str">
        <x:v>REP001</x:v>
      </x:c>
      <x:c r="E13" s="15" t="str">
        <x:v>South</x:v>
      </x:c>
      <x:c r="F13" s="15" t="str">
        <x:v>Bengaluru</x:v>
      </x:c>
      <x:c r="G13" s="15" t="str">
        <x:v>Delivered</x:v>
      </x:c>
      <x:c r="H13" s="15" t="str">
        <x:v>Online</x:v>
      </x:c>
    </x:row>
    <x:row r="14">
      <x:c r="A14" s="15" t="str">
        <x:v>ORD00013</x:v>
      </x:c>
      <x:c r="B14" s="15" t="n">
        <x:v>45933</x:v>
      </x:c>
      <x:c r="C14" s="15" t="str">
        <x:v>CUST0053</x:v>
      </x:c>
      <x:c r="D14" s="15" t="str">
        <x:v>REP006</x:v>
      </x:c>
      <x:c r="E14" s="15" t="str">
        <x:v>West</x:v>
      </x:c>
      <x:c r="F14" s="15" t="str">
        <x:v>Mumbai</x:v>
      </x:c>
      <x:c r="G14" s="15" t="str">
        <x:v>Delivered</x:v>
      </x:c>
      <x:c r="H14" s="15" t="str">
        <x:v>Online</x:v>
      </x:c>
    </x:row>
    <x:row r="15">
      <x:c r="A15" s="15" t="str">
        <x:v>ORD00014</x:v>
      </x:c>
      <x:c r="B15" s="15" t="n">
        <x:v>45718</x:v>
      </x:c>
      <x:c r="C15" s="15" t="str">
        <x:v>CUST0036</x:v>
      </x:c>
      <x:c r="D15" s="15" t="str">
        <x:v>REP014</x:v>
      </x:c>
      <x:c r="E15" s="15" t="str">
        <x:v>West</x:v>
      </x:c>
      <x:c r="F15" s="15" t="str">
        <x:v>Ahmedabad</x:v>
      </x:c>
      <x:c r="G15" s="15" t="str">
        <x:v>Delivered</x:v>
      </x:c>
      <x:c r="H15" s="15" t="str">
        <x:v>Online</x:v>
      </x:c>
    </x:row>
    <x:row r="16">
      <x:c r="A16" s="15" t="str">
        <x:v>ORD00015</x:v>
      </x:c>
      <x:c r="B16" s="15" t="n">
        <x:v>45740</x:v>
      </x:c>
      <x:c r="C16" s="15" t="str">
        <x:v>CUST0007</x:v>
      </x:c>
      <x:c r="D16" s="15" t="str">
        <x:v>REP012</x:v>
      </x:c>
      <x:c r="E16" s="15" t="str">
        <x:v>East</x:v>
      </x:c>
      <x:c r="F16" s="15" t="str">
        <x:v>Guwahati</x:v>
      </x:c>
      <x:c r="G16" s="15" t="str">
        <x:v>Delivered</x:v>
      </x:c>
      <x:c r="H16" s="15" t="str">
        <x:v>Distributor</x:v>
      </x:c>
    </x:row>
    <x:row r="17">
      <x:c r="A17" s="15" t="str">
        <x:v>ORD00016</x:v>
      </x:c>
      <x:c r="B17" s="15" t="n">
        <x:v>45775</x:v>
      </x:c>
      <x:c r="C17" s="15" t="str">
        <x:v>CUST0034</x:v>
      </x:c>
      <x:c r="D17" s="15" t="str">
        <x:v>REP016</x:v>
      </x:c>
      <x:c r="E17" s="15" t="str">
        <x:v>East</x:v>
      </x:c>
      <x:c r="F17" s="15" t="str">
        <x:v>Bhubaneswar</x:v>
      </x:c>
      <x:c r="G17" s="15" t="str">
        <x:v>Delivered</x:v>
      </x:c>
      <x:c r="H17" s="15" t="str">
        <x:v>Direct Sales</x:v>
      </x:c>
    </x:row>
    <x:row r="18">
      <x:c r="A18" s="15" t="str">
        <x:v>ORD00017</x:v>
      </x:c>
      <x:c r="B18" s="15" t="n">
        <x:v>46117</x:v>
      </x:c>
      <x:c r="C18" s="15" t="str">
        <x:v>CUST0037</x:v>
      </x:c>
      <x:c r="D18" s="15" t="str">
        <x:v>REP016</x:v>
      </x:c>
      <x:c r="E18" s="15" t="str">
        <x:v>East</x:v>
      </x:c>
      <x:c r="F18" s="15" t="str">
        <x:v>Guwahati</x:v>
      </x:c>
      <x:c r="G18" s="15" t="str">
        <x:v>Delivered</x:v>
      </x:c>
      <x:c r="H18" s="15" t="str">
        <x:v>Direct Sales</x:v>
      </x:c>
    </x:row>
    <x:row r="19">
      <x:c r="A19" s="15" t="str">
        <x:v>ORD00018</x:v>
      </x:c>
      <x:c r="B19" s="15" t="n">
        <x:v>46115</x:v>
      </x:c>
      <x:c r="C19" s="15" t="str">
        <x:v>CUST0028</x:v>
      </x:c>
      <x:c r="D19" s="15" t="str">
        <x:v>REP015</x:v>
      </x:c>
      <x:c r="E19" s="15" t="str">
        <x:v>North</x:v>
      </x:c>
      <x:c r="F19" s="15" t="str">
        <x:v>Delhi</x:v>
      </x:c>
      <x:c r="G19" s="15" t="str">
        <x:v>Delivered</x:v>
      </x:c>
      <x:c r="H19" s="15" t="str">
        <x:v>Online</x:v>
      </x:c>
    </x:row>
    <x:row r="20">
      <x:c r="A20" s="15" t="str">
        <x:v>ORD00019</x:v>
      </x:c>
      <x:c r="B20" s="15" t="n">
        <x:v>45844</x:v>
      </x:c>
      <x:c r="C20" s="15" t="str">
        <x:v>CUST0034</x:v>
      </x:c>
      <x:c r="D20" s="15" t="str">
        <x:v>REP012</x:v>
      </x:c>
      <x:c r="E20" s="15" t="str">
        <x:v>East</x:v>
      </x:c>
      <x:c r="F20" s="15" t="str">
        <x:v>Bhubaneswar</x:v>
      </x:c>
      <x:c r="G20" s="15" t="str">
        <x:v>Delivered</x:v>
      </x:c>
      <x:c r="H20" s="15" t="str">
        <x:v>Distributor</x:v>
      </x:c>
    </x:row>
    <x:row r="21">
      <x:c r="A21" s="15" t="str">
        <x:v>ORD00020</x:v>
      </x:c>
      <x:c r="B21" s="15" t="n">
        <x:v>45759</x:v>
      </x:c>
      <x:c r="C21" s="15" t="str">
        <x:v>CUST0019</x:v>
      </x:c>
      <x:c r="D21" s="15" t="str">
        <x:v>REP007</x:v>
      </x:c>
      <x:c r="E21" s="15" t="str">
        <x:v>North</x:v>
      </x:c>
      <x:c r="F21" s="15" t="str">
        <x:v>Delhi</x:v>
      </x:c>
      <x:c r="G21" s="15" t="str">
        <x:v>Delivered</x:v>
      </x:c>
      <x:c r="H21" s="15" t="str">
        <x:v>Distributor</x:v>
      </x:c>
    </x:row>
    <x:row r="22">
      <x:c r="A22" s="15" t="str">
        <x:v>ORD00021</x:v>
      </x:c>
      <x:c r="B22" s="15" t="n">
        <x:v>45940</x:v>
      </x:c>
      <x:c r="C22" s="15" t="str">
        <x:v>CUST0016</x:v>
      </x:c>
      <x:c r="D22" s="15" t="str">
        <x:v>REP015</x:v>
      </x:c>
      <x:c r="E22" s="15" t="str">
        <x:v>North</x:v>
      </x:c>
      <x:c r="F22" s="15" t="str">
        <x:v>Lucknow</x:v>
      </x:c>
      <x:c r="G22" s="15" t="str">
        <x:v>Delivered</x:v>
      </x:c>
      <x:c r="H22" s="15" t="str">
        <x:v>Online</x:v>
      </x:c>
    </x:row>
    <x:row r="23">
      <x:c r="A23" s="15" t="str">
        <x:v>ORD00022</x:v>
      </x:c>
      <x:c r="B23" s="15" t="n">
        <x:v>45800</x:v>
      </x:c>
      <x:c r="C23" s="15" t="str">
        <x:v>CUST0065</x:v>
      </x:c>
      <x:c r="D23" s="15" t="str">
        <x:v>REP003</x:v>
      </x:c>
      <x:c r="E23" s="15" t="str">
        <x:v>North</x:v>
      </x:c>
      <x:c r="F23" s="15" t="str">
        <x:v>Jaipur</x:v>
      </x:c>
      <x:c r="G23" s="15" t="str">
        <x:v>Delivered</x:v>
      </x:c>
      <x:c r="H23" s="15" t="str">
        <x:v>Direct Sales</x:v>
      </x:c>
    </x:row>
    <x:row r="24">
      <x:c r="A24" s="15" t="str">
        <x:v>ORD00023</x:v>
      </x:c>
      <x:c r="B24" s="15" t="n">
        <x:v>45875</x:v>
      </x:c>
      <x:c r="C24" s="15" t="str">
        <x:v>CUST0044</x:v>
      </x:c>
      <x:c r="D24" s="15" t="str">
        <x:v>REP003</x:v>
      </x:c>
      <x:c r="E24" s="15" t="str">
        <x:v>North</x:v>
      </x:c>
      <x:c r="F24" s="15" t="str">
        <x:v>Lucknow</x:v>
      </x:c>
      <x:c r="G24" s="15" t="str">
        <x:v>Delivered</x:v>
      </x:c>
      <x:c r="H24" s="15" t="str">
        <x:v>Distributor</x:v>
      </x:c>
    </x:row>
    <x:row r="25">
      <x:c r="A25" s="15" t="str">
        <x:v>ORD00024</x:v>
      </x:c>
      <x:c r="B25" s="15" t="n">
        <x:v>46080</x:v>
      </x:c>
      <x:c r="C25" s="15" t="str">
        <x:v>CUST0020</x:v>
      </x:c>
      <x:c r="D25" s="15" t="str">
        <x:v>REP006</x:v>
      </x:c>
      <x:c r="E25" s="15" t="str">
        <x:v>West</x:v>
      </x:c>
      <x:c r="F25" s="15" t="str">
        <x:v>Mumbai</x:v>
      </x:c>
      <x:c r="G25" s="15" t="str">
        <x:v>Delivered</x:v>
      </x:c>
      <x:c r="H25" s="15" t="str">
        <x:v>Distributor</x:v>
      </x:c>
    </x:row>
    <x:row r="26">
      <x:c r="A26" s="15" t="str">
        <x:v>ORD00025</x:v>
      </x:c>
      <x:c r="B26" s="15" t="n">
        <x:v>46134</x:v>
      </x:c>
      <x:c r="C26" s="15" t="str">
        <x:v>CUST0098</x:v>
      </x:c>
      <x:c r="D26" s="15" t="str">
        <x:v>REP006</x:v>
      </x:c>
      <x:c r="E26" s="15" t="str">
        <x:v>West</x:v>
      </x:c>
      <x:c r="F26" s="15" t="str">
        <x:v>Pune</x:v>
      </x:c>
      <x:c r="G26" s="15" t="str">
        <x:v>Delivered</x:v>
      </x:c>
      <x:c r="H26" s="15" t="str">
        <x:v>Direct Sales</x:v>
      </x:c>
    </x:row>
    <x:row r="27">
      <x:c r="A27" s="15" t="str">
        <x:v>ORD00026</x:v>
      </x:c>
      <x:c r="B27" s="15" t="n">
        <x:v>46169</x:v>
      </x:c>
      <x:c r="C27" s="15" t="str">
        <x:v>CUST0054</x:v>
      </x:c>
      <x:c r="D27" s="15" t="str">
        <x:v>REP008</x:v>
      </x:c>
      <x:c r="E27" s="15" t="str">
        <x:v>East</x:v>
      </x:c>
      <x:c r="F27" s="15" t="str">
        <x:v>Guwahati</x:v>
      </x:c>
      <x:c r="G27" s="15" t="str">
        <x:v>Delivered</x:v>
      </x:c>
      <x:c r="H27" s="15" t="str">
        <x:v>Direct Sales</x:v>
      </x:c>
    </x:row>
    <x:row r="28">
      <x:c r="A28" s="15" t="str">
        <x:v>ORD00027</x:v>
      </x:c>
      <x:c r="B28" s="15" t="n">
        <x:v>45783</x:v>
      </x:c>
      <x:c r="C28" s="15" t="str">
        <x:v>CUST0011</x:v>
      </x:c>
      <x:c r="D28" s="15" t="str">
        <x:v>REP013</x:v>
      </x:c>
      <x:c r="E28" s="15" t="str">
        <x:v>South</x:v>
      </x:c>
      <x:c r="F28" s="15" t="str">
        <x:v>Chennai</x:v>
      </x:c>
      <x:c r="G28" s="15" t="str">
        <x:v>Delivered</x:v>
      </x:c>
      <x:c r="H28" s="15" t="str">
        <x:v>Direct Sales</x:v>
      </x:c>
    </x:row>
    <x:row r="29">
      <x:c r="A29" s="15" t="str">
        <x:v>ORD00028</x:v>
      </x:c>
      <x:c r="B29" s="15" t="n">
        <x:v>45848</x:v>
      </x:c>
      <x:c r="C29" s="15" t="str">
        <x:v>CUST0020</x:v>
      </x:c>
      <x:c r="D29" s="15" t="str">
        <x:v>REP014</x:v>
      </x:c>
      <x:c r="E29" s="15" t="str">
        <x:v>West</x:v>
      </x:c>
      <x:c r="F29" s="15" t="str">
        <x:v>Mumbai</x:v>
      </x:c>
      <x:c r="G29" s="15" t="str">
        <x:v>Delivered</x:v>
      </x:c>
      <x:c r="H29" s="15" t="str">
        <x:v>Direct Sales</x:v>
      </x:c>
    </x:row>
    <x:row r="30">
      <x:c r="A30" s="15" t="str">
        <x:v>ORD00029</x:v>
      </x:c>
      <x:c r="B30" s="15" t="n">
        <x:v>46165</x:v>
      </x:c>
      <x:c r="C30" s="15" t="str">
        <x:v>CUST0019</x:v>
      </x:c>
      <x:c r="D30" s="15" t="str">
        <x:v>REP015</x:v>
      </x:c>
      <x:c r="E30" s="15" t="str">
        <x:v>North</x:v>
      </x:c>
      <x:c r="F30" s="15" t="str">
        <x:v>Delhi</x:v>
      </x:c>
      <x:c r="G30" s="15" t="str">
        <x:v>Delivered</x:v>
      </x:c>
      <x:c r="H30" s="15" t="str">
        <x:v>Direct Sales</x:v>
      </x:c>
    </x:row>
    <x:row r="31">
      <x:c r="A31" s="15" t="str">
        <x:v>ORD00030</x:v>
      </x:c>
      <x:c r="B31" s="15" t="n">
        <x:v>45988</x:v>
      </x:c>
      <x:c r="C31" s="15" t="str">
        <x:v>CUST0038</x:v>
      </x:c>
      <x:c r="D31" s="15" t="str">
        <x:v>REP002</x:v>
      </x:c>
      <x:c r="E31" s="15" t="str">
        <x:v>West</x:v>
      </x:c>
      <x:c r="F31" s="15" t="str">
        <x:v>Ahmedabad</x:v>
      </x:c>
      <x:c r="G31" s="15" t="str">
        <x:v>Delivered</x:v>
      </x:c>
      <x:c r="H31" s="15" t="str">
        <x:v>Direct Sales</x:v>
      </x:c>
    </x:row>
    <x:row r="32">
      <x:c r="A32" s="15" t="str">
        <x:v>ORD00031</x:v>
      </x:c>
      <x:c r="B32" s="15" t="n">
        <x:v>45836</x:v>
      </x:c>
      <x:c r="C32" s="15" t="str">
        <x:v>CUST0015</x:v>
      </x:c>
      <x:c r="D32" s="15" t="str">
        <x:v>REP014</x:v>
      </x:c>
      <x:c r="E32" s="15" t="str">
        <x:v>West</x:v>
      </x:c>
      <x:c r="F32" s="15" t="str">
        <x:v>Mumbai</x:v>
      </x:c>
      <x:c r="G32" s="15" t="str">
        <x:v>Delivered</x:v>
      </x:c>
      <x:c r="H32" s="15" t="str">
        <x:v>Distributor</x:v>
      </x:c>
    </x:row>
    <x:row r="33">
      <x:c r="A33" s="15" t="str">
        <x:v>ORD00032</x:v>
      </x:c>
      <x:c r="B33" s="15" t="n">
        <x:v>45737</x:v>
      </x:c>
      <x:c r="C33" s="15" t="str">
        <x:v>CUST0018</x:v>
      </x:c>
      <x:c r="D33" s="15" t="str">
        <x:v>REP003</x:v>
      </x:c>
      <x:c r="E33" s="15" t="str">
        <x:v>North</x:v>
      </x:c>
      <x:c r="F33" s="15" t="str">
        <x:v>Jaipur</x:v>
      </x:c>
      <x:c r="G33" s="15" t="str">
        <x:v>Delivered</x:v>
      </x:c>
      <x:c r="H33" s="15" t="str">
        <x:v>Distributor</x:v>
      </x:c>
    </x:row>
    <x:row r="34">
      <x:c r="A34" s="15" t="str">
        <x:v>ORD00033</x:v>
      </x:c>
      <x:c r="B34" s="15" t="n">
        <x:v>45726</x:v>
      </x:c>
      <x:c r="C34" s="15" t="str">
        <x:v>CUST0005</x:v>
      </x:c>
      <x:c r="D34" s="15" t="str">
        <x:v>REP010</x:v>
      </x:c>
      <x:c r="E34" s="15" t="str">
        <x:v>West</x:v>
      </x:c>
      <x:c r="F34" s="15" t="str">
        <x:v>Mumbai</x:v>
      </x:c>
      <x:c r="G34" s="15" t="str">
        <x:v>Pending</x:v>
      </x:c>
      <x:c r="H34" s="15" t="str">
        <x:v>Online</x:v>
      </x:c>
    </x:row>
    <x:row r="35">
      <x:c r="A35" s="15" t="str">
        <x:v>ORD00034</x:v>
      </x:c>
      <x:c r="B35" s="15" t="n">
        <x:v>45756</x:v>
      </x:c>
      <x:c r="C35" s="15" t="str">
        <x:v>CUST0023</x:v>
      </x:c>
      <x:c r="D35" s="15" t="str">
        <x:v>REP012</x:v>
      </x:c>
      <x:c r="E35" s="15" t="str">
        <x:v>East</x:v>
      </x:c>
      <x:c r="F35" s="15" t="str">
        <x:v>Bhubaneswar</x:v>
      </x:c>
      <x:c r="G35" s="15" t="str">
        <x:v>Delivered</x:v>
      </x:c>
      <x:c r="H35" s="15" t="str">
        <x:v>Online</x:v>
      </x:c>
    </x:row>
    <x:row r="36">
      <x:c r="A36" s="15" t="str">
        <x:v>ORD00035</x:v>
      </x:c>
      <x:c r="B36" s="15" t="n">
        <x:v>46013</x:v>
      </x:c>
      <x:c r="C36" s="15" t="str">
        <x:v>CUST0094</x:v>
      </x:c>
      <x:c r="D36" s="15" t="str">
        <x:v>REP008</x:v>
      </x:c>
      <x:c r="E36" s="15" t="str">
        <x:v>East</x:v>
      </x:c>
      <x:c r="F36" s="15" t="str">
        <x:v>Bhubaneswar</x:v>
      </x:c>
      <x:c r="G36" s="15" t="str">
        <x:v>Cancelled</x:v>
      </x:c>
      <x:c r="H36" s="15" t="str">
        <x:v>Online</x:v>
      </x:c>
    </x:row>
    <x:row r="37">
      <x:c r="A37" s="15" t="str">
        <x:v>ORD00036</x:v>
      </x:c>
      <x:c r="B37" s="15" t="n">
        <x:v>46140</x:v>
      </x:c>
      <x:c r="C37" s="15" t="str">
        <x:v>CUST0035</x:v>
      </x:c>
      <x:c r="D37" s="15" t="str">
        <x:v>REP002</x:v>
      </x:c>
      <x:c r="E37" s="15" t="str">
        <x:v>West</x:v>
      </x:c>
      <x:c r="F37" s="15" t="str">
        <x:v>Pune</x:v>
      </x:c>
      <x:c r="G37" s="15" t="str">
        <x:v>Delivered</x:v>
      </x:c>
      <x:c r="H37" s="15" t="str">
        <x:v>Distributor</x:v>
      </x:c>
    </x:row>
    <x:row r="38">
      <x:c r="A38" s="15" t="str">
        <x:v>ORD00037</x:v>
      </x:c>
      <x:c r="B38" s="15" t="n">
        <x:v>45922</x:v>
      </x:c>
      <x:c r="C38" s="15" t="str">
        <x:v>CUST0091</x:v>
      </x:c>
      <x:c r="D38" s="15" t="str">
        <x:v>REP003</x:v>
      </x:c>
      <x:c r="E38" s="15" t="str">
        <x:v>North</x:v>
      </x:c>
      <x:c r="F38" s="15" t="str">
        <x:v>Delhi</x:v>
      </x:c>
      <x:c r="G38" s="15" t="str">
        <x:v>Delivered</x:v>
      </x:c>
      <x:c r="H38" s="15" t="str">
        <x:v>Online</x:v>
      </x:c>
    </x:row>
    <x:row r="39">
      <x:c r="A39" s="15" t="str">
        <x:v>ORD00038</x:v>
      </x:c>
      <x:c r="B39" s="15" t="n">
        <x:v>46120</x:v>
      </x:c>
      <x:c r="C39" s="15" t="str">
        <x:v>CUST0049</x:v>
      </x:c>
      <x:c r="D39" s="15" t="str">
        <x:v>REP008</x:v>
      </x:c>
      <x:c r="E39" s="15" t="str">
        <x:v>East</x:v>
      </x:c>
      <x:c r="F39" s="15" t="str">
        <x:v>Bhubaneswar</x:v>
      </x:c>
      <x:c r="G39" s="15" t="str">
        <x:v>Delivered</x:v>
      </x:c>
      <x:c r="H39" s="15" t="str">
        <x:v>Online</x:v>
      </x:c>
    </x:row>
    <x:row r="40">
      <x:c r="A40" s="15" t="str">
        <x:v>ORD00039</x:v>
      </x:c>
      <x:c r="B40" s="15" t="n">
        <x:v>45896</x:v>
      </x:c>
      <x:c r="C40" s="15" t="str">
        <x:v>CUST0095</x:v>
      </x:c>
      <x:c r="D40" s="15" t="str">
        <x:v>REP002</x:v>
      </x:c>
      <x:c r="E40" s="15" t="str">
        <x:v>West</x:v>
      </x:c>
      <x:c r="F40" s="15" t="str">
        <x:v>Ahmedabad</x:v>
      </x:c>
      <x:c r="G40" s="15" t="str">
        <x:v>Delivered</x:v>
      </x:c>
      <x:c r="H40" s="15" t="str">
        <x:v>Online</x:v>
      </x:c>
    </x:row>
    <x:row r="41">
      <x:c r="A41" s="15" t="str">
        <x:v>ORD00040</x:v>
      </x:c>
      <x:c r="B41" s="15" t="n">
        <x:v>45912</x:v>
      </x:c>
      <x:c r="C41" s="15" t="str">
        <x:v>CUST0031</x:v>
      </x:c>
      <x:c r="D41" s="15" t="str">
        <x:v>REP002</x:v>
      </x:c>
      <x:c r="E41" s="15" t="str">
        <x:v>West</x:v>
      </x:c>
      <x:c r="F41" s="15" t="str">
        <x:v>Pune</x:v>
      </x:c>
      <x:c r="G41" s="15" t="str">
        <x:v>Pending</x:v>
      </x:c>
      <x:c r="H41" s="15" t="str">
        <x:v>Distributor</x:v>
      </x:c>
    </x:row>
    <x:row r="42">
      <x:c r="A42" s="15" t="str">
        <x:v>ORD00041</x:v>
      </x:c>
      <x:c r="B42" s="15" t="n">
        <x:v>45944</x:v>
      </x:c>
      <x:c r="C42" s="15" t="str">
        <x:v>CUST0043</x:v>
      </x:c>
      <x:c r="D42" s="15" t="str">
        <x:v>REP016</x:v>
      </x:c>
      <x:c r="E42" s="15" t="str">
        <x:v>East</x:v>
      </x:c>
      <x:c r="F42" s="15" t="str">
        <x:v>Bhubaneswar</x:v>
      </x:c>
      <x:c r="G42" s="15" t="str">
        <x:v>Pending</x:v>
      </x:c>
      <x:c r="H42" s="15" t="str">
        <x:v>Direct Sales</x:v>
      </x:c>
    </x:row>
    <x:row r="43">
      <x:c r="A43" s="15" t="str">
        <x:v>ORD00042</x:v>
      </x:c>
      <x:c r="B43" s="15" t="n">
        <x:v>45815</x:v>
      </x:c>
      <x:c r="C43" s="15" t="str">
        <x:v>CUST0028</x:v>
      </x:c>
      <x:c r="D43" s="15" t="str">
        <x:v>REP011</x:v>
      </x:c>
      <x:c r="E43" s="15" t="str">
        <x:v>North</x:v>
      </x:c>
      <x:c r="F43" s="15" t="str">
        <x:v>Delhi</x:v>
      </x:c>
      <x:c r="G43" s="15" t="str">
        <x:v>Delivered</x:v>
      </x:c>
      <x:c r="H43" s="15" t="str">
        <x:v>Direct Sales</x:v>
      </x:c>
    </x:row>
    <x:row r="44">
      <x:c r="A44" s="15" t="str">
        <x:v>ORD00043</x:v>
      </x:c>
      <x:c r="B44" s="15" t="n">
        <x:v>45749</x:v>
      </x:c>
      <x:c r="C44" s="15" t="str">
        <x:v>CUST0060</x:v>
      </x:c>
      <x:c r="D44" s="15" t="str">
        <x:v>REP012</x:v>
      </x:c>
      <x:c r="E44" s="15" t="str">
        <x:v>East</x:v>
      </x:c>
      <x:c r="F44" s="15" t="str">
        <x:v>Kolkata</x:v>
      </x:c>
      <x:c r="G44" s="15" t="str">
        <x:v>Delivered</x:v>
      </x:c>
      <x:c r="H44" s="15" t="str">
        <x:v>Distributor</x:v>
      </x:c>
    </x:row>
    <x:row r="45">
      <x:c r="A45" s="15" t="str">
        <x:v>ORD00044</x:v>
      </x:c>
      <x:c r="B45" s="15" t="n">
        <x:v>46035</x:v>
      </x:c>
      <x:c r="C45" s="15" t="str">
        <x:v>CUST0004</x:v>
      </x:c>
      <x:c r="D45" s="15" t="str">
        <x:v>REP016</x:v>
      </x:c>
      <x:c r="E45" s="15" t="str">
        <x:v>East</x:v>
      </x:c>
      <x:c r="F45" s="15" t="str">
        <x:v>Bhubaneswar</x:v>
      </x:c>
      <x:c r="G45" s="15" t="str">
        <x:v>Cancelled</x:v>
      </x:c>
      <x:c r="H45" s="15" t="str">
        <x:v>Distributor</x:v>
      </x:c>
    </x:row>
    <x:row r="46">
      <x:c r="A46" s="15" t="str">
        <x:v>ORD00045</x:v>
      </x:c>
      <x:c r="B46" s="15" t="n">
        <x:v>46096</x:v>
      </x:c>
      <x:c r="C46" s="15" t="str">
        <x:v>CUST0065</x:v>
      </x:c>
      <x:c r="D46" s="15" t="str">
        <x:v>REP015</x:v>
      </x:c>
      <x:c r="E46" s="15" t="str">
        <x:v>North</x:v>
      </x:c>
      <x:c r="F46" s="15" t="str">
        <x:v>Jaipur</x:v>
      </x:c>
      <x:c r="G46" s="15" t="str">
        <x:v>Delivered</x:v>
      </x:c>
      <x:c r="H46" s="15" t="str">
        <x:v>Online</x:v>
      </x:c>
    </x:row>
    <x:row r="47">
      <x:c r="A47" s="15" t="str">
        <x:v>ORD00046</x:v>
      </x:c>
      <x:c r="B47" s="15" t="n">
        <x:v>46147</x:v>
      </x:c>
      <x:c r="C47" s="15" t="str">
        <x:v>CUST0030</x:v>
      </x:c>
      <x:c r="D47" s="15" t="str">
        <x:v>REP003</x:v>
      </x:c>
      <x:c r="E47" s="15" t="str">
        <x:v>North</x:v>
      </x:c>
      <x:c r="F47" s="15" t="str">
        <x:v>Jaipur</x:v>
      </x:c>
      <x:c r="G47" s="15" t="str">
        <x:v>Delivered</x:v>
      </x:c>
      <x:c r="H47" s="15" t="str">
        <x:v>Online</x:v>
      </x:c>
    </x:row>
    <x:row r="48">
      <x:c r="A48" s="15" t="str">
        <x:v>ORD00047</x:v>
      </x:c>
      <x:c r="B48" s="15" t="n">
        <x:v>45698</x:v>
      </x:c>
      <x:c r="C48" s="15" t="str">
        <x:v>CUST0015</x:v>
      </x:c>
      <x:c r="D48" s="15" t="str">
        <x:v>REP002</x:v>
      </x:c>
      <x:c r="E48" s="15" t="str">
        <x:v>West</x:v>
      </x:c>
      <x:c r="F48" s="15" t="str">
        <x:v>Mumbai</x:v>
      </x:c>
      <x:c r="G48" s="15" t="str">
        <x:v>Delivered</x:v>
      </x:c>
      <x:c r="H48" s="15" t="str">
        <x:v>Direct Sales</x:v>
      </x:c>
    </x:row>
    <x:row r="49">
      <x:c r="A49" s="15" t="str">
        <x:v>ORD00048</x:v>
      </x:c>
      <x:c r="B49" s="15" t="n">
        <x:v>46064</x:v>
      </x:c>
      <x:c r="C49" s="15" t="str">
        <x:v>CUST0026</x:v>
      </x:c>
      <x:c r="D49" s="15" t="str">
        <x:v>REP005</x:v>
      </x:c>
      <x:c r="E49" s="15" t="str">
        <x:v>South</x:v>
      </x:c>
      <x:c r="F49" s="15" t="str">
        <x:v>Hyderabad</x:v>
      </x:c>
      <x:c r="G49" s="15" t="str">
        <x:v>Delivered</x:v>
      </x:c>
      <x:c r="H49" s="15" t="str">
        <x:v>Online</x:v>
      </x:c>
    </x:row>
    <x:row r="50">
      <x:c r="A50" s="15" t="str">
        <x:v>ORD00049</x:v>
      </x:c>
      <x:c r="B50" s="15" t="n">
        <x:v>45975</x:v>
      </x:c>
      <x:c r="C50" s="15" t="str">
        <x:v>CUST0066</x:v>
      </x:c>
      <x:c r="D50" s="15" t="str">
        <x:v>REP010</x:v>
      </x:c>
      <x:c r="E50" s="15" t="str">
        <x:v>West</x:v>
      </x:c>
      <x:c r="F50" s="15" t="str">
        <x:v>Mumbai</x:v>
      </x:c>
      <x:c r="G50" s="15" t="str">
        <x:v>Delivered</x:v>
      </x:c>
      <x:c r="H50" s="15" t="str">
        <x:v>Online</x:v>
      </x:c>
    </x:row>
    <x:row r="51">
      <x:c r="A51" s="15" t="str">
        <x:v>ORD00050</x:v>
      </x:c>
      <x:c r="B51" s="15" t="n">
        <x:v>45877</x:v>
      </x:c>
      <x:c r="C51" s="15" t="str">
        <x:v>CUST0065</x:v>
      </x:c>
      <x:c r="D51" s="15" t="str">
        <x:v>REP003</x:v>
      </x:c>
      <x:c r="E51" s="15" t="str">
        <x:v>North</x:v>
      </x:c>
      <x:c r="F51" s="15" t="str">
        <x:v>Jaipur</x:v>
      </x:c>
      <x:c r="G51" s="15" t="str">
        <x:v>Cancelled</x:v>
      </x:c>
      <x:c r="H51" s="15" t="str">
        <x:v>Direct Sales</x:v>
      </x:c>
    </x:row>
    <x:row r="52">
      <x:c r="A52" s="15" t="str">
        <x:v>ORD00051</x:v>
      </x:c>
      <x:c r="B52" s="15" t="n">
        <x:v>45866</x:v>
      </x:c>
      <x:c r="C52" s="15" t="str">
        <x:v>CUST0046</x:v>
      </x:c>
      <x:c r="D52" s="15" t="str">
        <x:v>REP008</x:v>
      </x:c>
      <x:c r="E52" s="15" t="str">
        <x:v>East</x:v>
      </x:c>
      <x:c r="F52" s="15" t="str">
        <x:v>Bhubaneswar</x:v>
      </x:c>
      <x:c r="G52" s="15" t="str">
        <x:v>Delivered</x:v>
      </x:c>
      <x:c r="H52" s="15" t="str">
        <x:v>Online</x:v>
      </x:c>
    </x:row>
    <x:row r="53">
      <x:c r="A53" s="15" t="str">
        <x:v>ORD00052</x:v>
      </x:c>
      <x:c r="B53" s="15" t="n">
        <x:v>45755</x:v>
      </x:c>
      <x:c r="C53" s="15" t="str">
        <x:v>CUST0097</x:v>
      </x:c>
      <x:c r="D53" s="15" t="str">
        <x:v>REP003</x:v>
      </x:c>
      <x:c r="E53" s="15" t="str">
        <x:v>North</x:v>
      </x:c>
      <x:c r="F53" s="15" t="str">
        <x:v>Jaipur</x:v>
      </x:c>
      <x:c r="G53" s="15" t="str">
        <x:v>Cancelled</x:v>
      </x:c>
      <x:c r="H53" s="15" t="str">
        <x:v>Direct Sales</x:v>
      </x:c>
    </x:row>
    <x:row r="54">
      <x:c r="A54" s="15" t="str">
        <x:v>ORD00053</x:v>
      </x:c>
      <x:c r="B54" s="15" t="n">
        <x:v>45806</x:v>
      </x:c>
      <x:c r="C54" s="15" t="str">
        <x:v>CUST0095</x:v>
      </x:c>
      <x:c r="D54" s="15" t="str">
        <x:v>REP006</x:v>
      </x:c>
      <x:c r="E54" s="15" t="str">
        <x:v>West</x:v>
      </x:c>
      <x:c r="F54" s="15" t="str">
        <x:v>Ahmedabad</x:v>
      </x:c>
      <x:c r="G54" s="15" t="str">
        <x:v>Delivered</x:v>
      </x:c>
      <x:c r="H54" s="15" t="str">
        <x:v>Online</x:v>
      </x:c>
    </x:row>
    <x:row r="55">
      <x:c r="A55" s="15" t="str">
        <x:v>ORD00054</x:v>
      </x:c>
      <x:c r="B55" s="15" t="n">
        <x:v>45904</x:v>
      </x:c>
      <x:c r="C55" s="15" t="str">
        <x:v>CUST0006</x:v>
      </x:c>
      <x:c r="D55" s="15" t="str">
        <x:v>REP009</x:v>
      </x:c>
      <x:c r="E55" s="15" t="str">
        <x:v>South</x:v>
      </x:c>
      <x:c r="F55" s="15" t="str">
        <x:v>Chennai</x:v>
      </x:c>
      <x:c r="G55" s="15" t="str">
        <x:v>Delivered</x:v>
      </x:c>
      <x:c r="H55" s="15" t="str">
        <x:v>Online</x:v>
      </x:c>
    </x:row>
    <x:row r="56">
      <x:c r="A56" s="15" t="str">
        <x:v>ORD00055</x:v>
      </x:c>
      <x:c r="B56" s="15" t="n">
        <x:v>45838</x:v>
      </x:c>
      <x:c r="C56" s="15" t="str">
        <x:v>CUST0064</x:v>
      </x:c>
      <x:c r="D56" s="15" t="str">
        <x:v>REP009</x:v>
      </x:c>
      <x:c r="E56" s="15" t="str">
        <x:v>South</x:v>
      </x:c>
      <x:c r="F56" s="15" t="str">
        <x:v>Chennai</x:v>
      </x:c>
      <x:c r="G56" s="15" t="str">
        <x:v>Delivered</x:v>
      </x:c>
      <x:c r="H56" s="15" t="str">
        <x:v>Direct Sales</x:v>
      </x:c>
    </x:row>
    <x:row r="57">
      <x:c r="A57" s="15" t="str">
        <x:v>ORD00056</x:v>
      </x:c>
      <x:c r="B57" s="15" t="n">
        <x:v>46192</x:v>
      </x:c>
      <x:c r="C57" s="15" t="str">
        <x:v>CUST0071</x:v>
      </x:c>
      <x:c r="D57" s="15" t="str">
        <x:v>REP004</x:v>
      </x:c>
      <x:c r="E57" s="15" t="str">
        <x:v>East</x:v>
      </x:c>
      <x:c r="F57" s="15" t="str">
        <x:v>Kolkata</x:v>
      </x:c>
      <x:c r="G57" s="15" t="str">
        <x:v>Pending</x:v>
      </x:c>
      <x:c r="H57" s="15" t="str">
        <x:v>Distributor</x:v>
      </x:c>
    </x:row>
    <x:row r="58">
      <x:c r="A58" s="15" t="str">
        <x:v>ORD00057</x:v>
      </x:c>
      <x:c r="B58" s="15" t="n">
        <x:v>45999</x:v>
      </x:c>
      <x:c r="C58" s="15" t="str">
        <x:v>CUST0029</x:v>
      </x:c>
      <x:c r="D58" s="15" t="str">
        <x:v>REP001</x:v>
      </x:c>
      <x:c r="E58" s="15" t="str">
        <x:v>South</x:v>
      </x:c>
      <x:c r="F58" s="15" t="str">
        <x:v>Chennai</x:v>
      </x:c>
      <x:c r="G58" s="15" t="str">
        <x:v>Delivered</x:v>
      </x:c>
      <x:c r="H58" s="15" t="str">
        <x:v>Direct Sales</x:v>
      </x:c>
    </x:row>
    <x:row r="59">
      <x:c r="A59" s="15" t="str">
        <x:v>ORD00058</x:v>
      </x:c>
      <x:c r="B59" s="15" t="n">
        <x:v>45975</x:v>
      </x:c>
      <x:c r="C59" s="15" t="str">
        <x:v>CUST0072</x:v>
      </x:c>
      <x:c r="D59" s="15" t="str">
        <x:v>REP013</x:v>
      </x:c>
      <x:c r="E59" s="15" t="str">
        <x:v>South</x:v>
      </x:c>
      <x:c r="F59" s="15" t="str">
        <x:v>Bengaluru</x:v>
      </x:c>
      <x:c r="G59" s="15" t="str">
        <x:v>Delivered</x:v>
      </x:c>
      <x:c r="H59" s="15" t="str">
        <x:v>Online</x:v>
      </x:c>
    </x:row>
    <x:row r="60">
      <x:c r="A60" s="15" t="str">
        <x:v>ORD00059</x:v>
      </x:c>
      <x:c r="B60" s="15" t="n">
        <x:v>45690</x:v>
      </x:c>
      <x:c r="C60" s="15" t="str">
        <x:v>CUST0029</x:v>
      </x:c>
      <x:c r="D60" s="15" t="str">
        <x:v>REP005</x:v>
      </x:c>
      <x:c r="E60" s="15" t="str">
        <x:v>South</x:v>
      </x:c>
      <x:c r="F60" s="15" t="str">
        <x:v>Chennai</x:v>
      </x:c>
      <x:c r="G60" s="15" t="str">
        <x:v>Delivered</x:v>
      </x:c>
      <x:c r="H60" s="15" t="str">
        <x:v>Direct Sales</x:v>
      </x:c>
    </x:row>
    <x:row r="61">
      <x:c r="A61" s="15" t="str">
        <x:v>ORD00060</x:v>
      </x:c>
      <x:c r="B61" s="15" t="n">
        <x:v>46175</x:v>
      </x:c>
      <x:c r="C61" s="15" t="str">
        <x:v>CUST0009</x:v>
      </x:c>
      <x:c r="D61" s="15" t="str">
        <x:v>REP013</x:v>
      </x:c>
      <x:c r="E61" s="15" t="str">
        <x:v>South</x:v>
      </x:c>
      <x:c r="F61" s="15" t="str">
        <x:v>Hyderabad</x:v>
      </x:c>
      <x:c r="G61" s="15" t="str">
        <x:v>Delivered</x:v>
      </x:c>
      <x:c r="H61" s="15" t="str">
        <x:v>Online</x:v>
      </x:c>
    </x:row>
    <x:row r="62">
      <x:c r="A62" s="15" t="str">
        <x:v>ORD00061</x:v>
      </x:c>
      <x:c r="B62" s="15" t="n">
        <x:v>45953</x:v>
      </x:c>
      <x:c r="C62" s="15" t="str">
        <x:v>CUST0038</x:v>
      </x:c>
      <x:c r="D62" s="15" t="str">
        <x:v>REP002</x:v>
      </x:c>
      <x:c r="E62" s="15" t="str">
        <x:v>West</x:v>
      </x:c>
      <x:c r="F62" s="15" t="str">
        <x:v>Ahmedabad</x:v>
      </x:c>
      <x:c r="G62" s="15" t="str">
        <x:v>Pending</x:v>
      </x:c>
      <x:c r="H62" s="15" t="str">
        <x:v>Online</x:v>
      </x:c>
    </x:row>
    <x:row r="63">
      <x:c r="A63" s="15" t="str">
        <x:v>ORD00062</x:v>
      </x:c>
      <x:c r="B63" s="15" t="n">
        <x:v>46088</x:v>
      </x:c>
      <x:c r="C63" s="15" t="str">
        <x:v>CUST0088</x:v>
      </x:c>
      <x:c r="D63" s="15" t="str">
        <x:v>REP010</x:v>
      </x:c>
      <x:c r="E63" s="15" t="str">
        <x:v>West</x:v>
      </x:c>
      <x:c r="F63" s="15" t="str">
        <x:v>Pune</x:v>
      </x:c>
      <x:c r="G63" s="15" t="str">
        <x:v>Delivered</x:v>
      </x:c>
      <x:c r="H63" s="15" t="str">
        <x:v>Direct Sales</x:v>
      </x:c>
    </x:row>
    <x:row r="64">
      <x:c r="A64" s="15" t="str">
        <x:v>ORD00063</x:v>
      </x:c>
      <x:c r="B64" s="15" t="n">
        <x:v>46038</x:v>
      </x:c>
      <x:c r="C64" s="15" t="str">
        <x:v>CUST0016</x:v>
      </x:c>
      <x:c r="D64" s="15" t="str">
        <x:v>REP003</x:v>
      </x:c>
      <x:c r="E64" s="15" t="str">
        <x:v>North</x:v>
      </x:c>
      <x:c r="F64" s="15" t="str">
        <x:v>Lucknow</x:v>
      </x:c>
      <x:c r="G64" s="15" t="str">
        <x:v>Delivered</x:v>
      </x:c>
      <x:c r="H64" s="15" t="str">
        <x:v>Online</x:v>
      </x:c>
    </x:row>
    <x:row r="65">
      <x:c r="A65" s="15" t="str">
        <x:v>ORD00064</x:v>
      </x:c>
      <x:c r="B65" s="15" t="n">
        <x:v>45710</x:v>
      </x:c>
      <x:c r="C65" s="15" t="str">
        <x:v>CUST0073</x:v>
      </x:c>
      <x:c r="D65" s="15" t="str">
        <x:v>REP004</x:v>
      </x:c>
      <x:c r="E65" s="15" t="str">
        <x:v>East</x:v>
      </x:c>
      <x:c r="F65" s="15" t="str">
        <x:v>Guwahati</x:v>
      </x:c>
      <x:c r="G65" s="15" t="str">
        <x:v>Delivered</x:v>
      </x:c>
      <x:c r="H65" s="15" t="str">
        <x:v>Direct Sales</x:v>
      </x:c>
    </x:row>
    <x:row r="66">
      <x:c r="A66" s="15" t="str">
        <x:v>ORD00065</x:v>
      </x:c>
      <x:c r="B66" s="15" t="n">
        <x:v>45813</x:v>
      </x:c>
      <x:c r="C66" s="15" t="str">
        <x:v>CUST0011</x:v>
      </x:c>
      <x:c r="D66" s="15" t="str">
        <x:v>REP005</x:v>
      </x:c>
      <x:c r="E66" s="15" t="str">
        <x:v>South</x:v>
      </x:c>
      <x:c r="F66" s="15" t="str">
        <x:v>Chennai</x:v>
      </x:c>
      <x:c r="G66" s="15" t="str">
        <x:v>Pending</x:v>
      </x:c>
      <x:c r="H66" s="15" t="str">
        <x:v>Direct Sales</x:v>
      </x:c>
    </x:row>
    <x:row r="67">
      <x:c r="A67" s="15" t="str">
        <x:v>ORD00066</x:v>
      </x:c>
      <x:c r="B67" s="15" t="n">
        <x:v>46174</x:v>
      </x:c>
      <x:c r="C67" s="15" t="str">
        <x:v>CUST0057</x:v>
      </x:c>
      <x:c r="D67" s="15" t="str">
        <x:v>REP003</x:v>
      </x:c>
      <x:c r="E67" s="15" t="str">
        <x:v>North</x:v>
      </x:c>
      <x:c r="F67" s="15" t="str">
        <x:v>Jaipur</x:v>
      </x:c>
      <x:c r="G67" s="15" t="str">
        <x:v>Cancelled</x:v>
      </x:c>
      <x:c r="H67" s="15" t="str">
        <x:v>Distributor</x:v>
      </x:c>
    </x:row>
    <x:row r="68">
      <x:c r="A68" s="15" t="str">
        <x:v>ORD00067</x:v>
      </x:c>
      <x:c r="B68" s="15" t="n">
        <x:v>45673</x:v>
      </x:c>
      <x:c r="C68" s="15" t="str">
        <x:v>CUST0092</x:v>
      </x:c>
      <x:c r="D68" s="15" t="str">
        <x:v>REP011</x:v>
      </x:c>
      <x:c r="E68" s="15" t="str">
        <x:v>North</x:v>
      </x:c>
      <x:c r="F68" s="15" t="str">
        <x:v>Delhi</x:v>
      </x:c>
      <x:c r="G68" s="15" t="str">
        <x:v>Delivered</x:v>
      </x:c>
      <x:c r="H68" s="15" t="str">
        <x:v>Direct Sales</x:v>
      </x:c>
    </x:row>
    <x:row r="69">
      <x:c r="A69" s="15" t="str">
        <x:v>ORD00068</x:v>
      </x:c>
      <x:c r="B69" s="15" t="n">
        <x:v>45722</x:v>
      </x:c>
      <x:c r="C69" s="15" t="str">
        <x:v>CUST0016</x:v>
      </x:c>
      <x:c r="D69" s="15" t="str">
        <x:v>REP011</x:v>
      </x:c>
      <x:c r="E69" s="15" t="str">
        <x:v>North</x:v>
      </x:c>
      <x:c r="F69" s="15" t="str">
        <x:v>Lucknow</x:v>
      </x:c>
      <x:c r="G69" s="15" t="str">
        <x:v>Pending</x:v>
      </x:c>
      <x:c r="H69" s="15" t="str">
        <x:v>Distributor</x:v>
      </x:c>
    </x:row>
    <x:row r="70">
      <x:c r="A70" s="15" t="str">
        <x:v>ORD00069</x:v>
      </x:c>
      <x:c r="B70" s="15" t="n">
        <x:v>46117</x:v>
      </x:c>
      <x:c r="C70" s="15" t="str">
        <x:v>CUST0067</x:v>
      </x:c>
      <x:c r="D70" s="15" t="str">
        <x:v>REP007</x:v>
      </x:c>
      <x:c r="E70" s="15" t="str">
        <x:v>North</x:v>
      </x:c>
      <x:c r="F70" s="15" t="str">
        <x:v>Jaipur</x:v>
      </x:c>
      <x:c r="G70" s="15" t="str">
        <x:v>Delivered</x:v>
      </x:c>
      <x:c r="H70" s="15" t="str">
        <x:v>Distributor</x:v>
      </x:c>
    </x:row>
    <x:row r="71">
      <x:c r="A71" s="15" t="str">
        <x:v>ORD00070</x:v>
      </x:c>
      <x:c r="B71" s="15" t="n">
        <x:v>46115</x:v>
      </x:c>
      <x:c r="C71" s="15" t="str">
        <x:v>CUST0005</x:v>
      </x:c>
      <x:c r="D71" s="15" t="str">
        <x:v>REP002</x:v>
      </x:c>
      <x:c r="E71" s="15" t="str">
        <x:v>West</x:v>
      </x:c>
      <x:c r="F71" s="15" t="str">
        <x:v>Mumbai</x:v>
      </x:c>
      <x:c r="G71" s="15" t="str">
        <x:v>Delivered</x:v>
      </x:c>
      <x:c r="H71" s="15" t="str">
        <x:v>Distributor</x:v>
      </x:c>
    </x:row>
    <x:row r="72">
      <x:c r="A72" s="15" t="str">
        <x:v>ORD00071</x:v>
      </x:c>
      <x:c r="B72" s="15" t="n">
        <x:v>45811</x:v>
      </x:c>
      <x:c r="C72" s="15" t="str">
        <x:v>CUST0003</x:v>
      </x:c>
      <x:c r="D72" s="15" t="str">
        <x:v>REP002</x:v>
      </x:c>
      <x:c r="E72" s="15" t="str">
        <x:v>West</x:v>
      </x:c>
      <x:c r="F72" s="15" t="str">
        <x:v>Ahmedabad</x:v>
      </x:c>
      <x:c r="G72" s="15" t="str">
        <x:v>Delivered</x:v>
      </x:c>
      <x:c r="H72" s="15" t="str">
        <x:v>Direct Sales</x:v>
      </x:c>
    </x:row>
    <x:row r="73">
      <x:c r="A73" s="15" t="str">
        <x:v>ORD00072</x:v>
      </x:c>
      <x:c r="B73" s="15" t="n">
        <x:v>45780</x:v>
      </x:c>
      <x:c r="C73" s="15" t="str">
        <x:v>CUST0006</x:v>
      </x:c>
      <x:c r="D73" s="15" t="str">
        <x:v>REP001</x:v>
      </x:c>
      <x:c r="E73" s="15" t="str">
        <x:v>South</x:v>
      </x:c>
      <x:c r="F73" s="15" t="str">
        <x:v>Chennai</x:v>
      </x:c>
      <x:c r="G73" s="15" t="str">
        <x:v>Delivered</x:v>
      </x:c>
      <x:c r="H73" s="15" t="str">
        <x:v>Distributor</x:v>
      </x:c>
    </x:row>
    <x:row r="74">
      <x:c r="A74" s="15" t="str">
        <x:v>ORD00073</x:v>
      </x:c>
      <x:c r="B74" s="15" t="n">
        <x:v>46046</x:v>
      </x:c>
      <x:c r="C74" s="15" t="str">
        <x:v>CUST0004</x:v>
      </x:c>
      <x:c r="D74" s="15" t="str">
        <x:v>REP004</x:v>
      </x:c>
      <x:c r="E74" s="15" t="str">
        <x:v>East</x:v>
      </x:c>
      <x:c r="F74" s="15" t="str">
        <x:v>Bhubaneswar</x:v>
      </x:c>
      <x:c r="G74" s="15" t="str">
        <x:v>Delivered</x:v>
      </x:c>
      <x:c r="H74" s="15" t="str">
        <x:v>Distributor</x:v>
      </x:c>
    </x:row>
    <x:row r="75">
      <x:c r="A75" s="15" t="str">
        <x:v>ORD00074</x:v>
      </x:c>
      <x:c r="B75" s="15" t="n">
        <x:v>46125</x:v>
      </x:c>
      <x:c r="C75" s="15" t="str">
        <x:v>CUST0033</x:v>
      </x:c>
      <x:c r="D75" s="15" t="str">
        <x:v>REP012</x:v>
      </x:c>
      <x:c r="E75" s="15" t="str">
        <x:v>East</x:v>
      </x:c>
      <x:c r="F75" s="15" t="str">
        <x:v>Guwahati</x:v>
      </x:c>
      <x:c r="G75" s="15" t="str">
        <x:v>Delivered</x:v>
      </x:c>
      <x:c r="H75" s="15" t="str">
        <x:v>Direct Sales</x:v>
      </x:c>
    </x:row>
    <x:row r="76">
      <x:c r="A76" s="15" t="str">
        <x:v>ORD00075</x:v>
      </x:c>
      <x:c r="B76" s="15" t="n">
        <x:v>45975</x:v>
      </x:c>
      <x:c r="C76" s="15" t="str">
        <x:v>CUST0063</x:v>
      </x:c>
      <x:c r="D76" s="15" t="str">
        <x:v>REP007</x:v>
      </x:c>
      <x:c r="E76" s="15" t="str">
        <x:v>North</x:v>
      </x:c>
      <x:c r="F76" s="15" t="str">
        <x:v>Delhi</x:v>
      </x:c>
      <x:c r="G76" s="15" t="str">
        <x:v>Pending</x:v>
      </x:c>
      <x:c r="H76" s="15" t="str">
        <x:v>Distributor</x:v>
      </x:c>
    </x:row>
    <x:row r="77">
      <x:c r="A77" s="15" t="str">
        <x:v>ORD00076</x:v>
      </x:c>
      <x:c r="B77" s="15" t="n">
        <x:v>45722</x:v>
      </x:c>
      <x:c r="C77" s="15" t="str">
        <x:v>CUST0049</x:v>
      </x:c>
      <x:c r="D77" s="15" t="str">
        <x:v>REP004</x:v>
      </x:c>
      <x:c r="E77" s="15" t="str">
        <x:v>East</x:v>
      </x:c>
      <x:c r="F77" s="15" t="str">
        <x:v>Bhubaneswar</x:v>
      </x:c>
      <x:c r="G77" s="15" t="str">
        <x:v>Delivered</x:v>
      </x:c>
      <x:c r="H77" s="15" t="str">
        <x:v>Distributor</x:v>
      </x:c>
    </x:row>
    <x:row r="78">
      <x:c r="A78" s="15" t="str">
        <x:v>ORD00077</x:v>
      </x:c>
      <x:c r="B78" s="15" t="n">
        <x:v>46075</x:v>
      </x:c>
      <x:c r="C78" s="15" t="str">
        <x:v>CUST0038</x:v>
      </x:c>
      <x:c r="D78" s="15" t="str">
        <x:v>REP006</x:v>
      </x:c>
      <x:c r="E78" s="15" t="str">
        <x:v>West</x:v>
      </x:c>
      <x:c r="F78" s="15" t="str">
        <x:v>Ahmedabad</x:v>
      </x:c>
      <x:c r="G78" s="15" t="str">
        <x:v>Cancelled</x:v>
      </x:c>
      <x:c r="H78" s="15" t="str">
        <x:v>Distributor</x:v>
      </x:c>
    </x:row>
    <x:row r="79">
      <x:c r="A79" s="15" t="str">
        <x:v>ORD00078</x:v>
      </x:c>
      <x:c r="B79" s="15" t="n">
        <x:v>45776</x:v>
      </x:c>
      <x:c r="C79" s="15" t="str">
        <x:v>CUST0034</x:v>
      </x:c>
      <x:c r="D79" s="15" t="str">
        <x:v>REP012</x:v>
      </x:c>
      <x:c r="E79" s="15" t="str">
        <x:v>East</x:v>
      </x:c>
      <x:c r="F79" s="15" t="str">
        <x:v>Bhubaneswar</x:v>
      </x:c>
      <x:c r="G79" s="15" t="str">
        <x:v>Delivered</x:v>
      </x:c>
      <x:c r="H79" s="15" t="str">
        <x:v>Direct Sales</x:v>
      </x:c>
    </x:row>
    <x:row r="80">
      <x:c r="A80" s="15" t="str">
        <x:v>ORD00079</x:v>
      </x:c>
      <x:c r="B80" s="15" t="n">
        <x:v>45827</x:v>
      </x:c>
      <x:c r="C80" s="15" t="str">
        <x:v>CUST0010</x:v>
      </x:c>
      <x:c r="D80" s="15" t="str">
        <x:v>REP010</x:v>
      </x:c>
      <x:c r="E80" s="15" t="str">
        <x:v>West</x:v>
      </x:c>
      <x:c r="F80" s="15" t="str">
        <x:v>Ahmedabad</x:v>
      </x:c>
      <x:c r="G80" s="15" t="str">
        <x:v>Delivered</x:v>
      </x:c>
      <x:c r="H80" s="15" t="str">
        <x:v>Distributor</x:v>
      </x:c>
    </x:row>
    <x:row r="81">
      <x:c r="A81" s="15" t="str">
        <x:v>ORD00080</x:v>
      </x:c>
      <x:c r="B81" s="15" t="n">
        <x:v>46131</x:v>
      </x:c>
      <x:c r="C81" s="15" t="str">
        <x:v>CUST0073</x:v>
      </x:c>
      <x:c r="D81" s="15" t="str">
        <x:v>REP004</x:v>
      </x:c>
      <x:c r="E81" s="15" t="str">
        <x:v>East</x:v>
      </x:c>
      <x:c r="F81" s="15" t="str">
        <x:v>Guwahati</x:v>
      </x:c>
      <x:c r="G81" s="15" t="str">
        <x:v>Delivered</x:v>
      </x:c>
      <x:c r="H81" s="15" t="str">
        <x:v>Online</x:v>
      </x:c>
    </x:row>
    <x:row r="82">
      <x:c r="A82" s="15" t="str">
        <x:v>ORD00081</x:v>
      </x:c>
      <x:c r="B82" s="15" t="n">
        <x:v>45946</x:v>
      </x:c>
      <x:c r="C82" s="15" t="str">
        <x:v>CUST0018</x:v>
      </x:c>
      <x:c r="D82" s="15" t="str">
        <x:v>REP015</x:v>
      </x:c>
      <x:c r="E82" s="15" t="str">
        <x:v>North</x:v>
      </x:c>
      <x:c r="F82" s="15" t="str">
        <x:v>Jaipur</x:v>
      </x:c>
      <x:c r="G82" s="15" t="str">
        <x:v>Delivered</x:v>
      </x:c>
      <x:c r="H82" s="15" t="str">
        <x:v>Direct Sales</x:v>
      </x:c>
    </x:row>
    <x:row r="83">
      <x:c r="A83" s="15" t="str">
        <x:v>ORD00082</x:v>
      </x:c>
      <x:c r="B83" s="15" t="n">
        <x:v>46102</x:v>
      </x:c>
      <x:c r="C83" s="15" t="str">
        <x:v>CUST0012</x:v>
      </x:c>
      <x:c r="D83" s="15" t="str">
        <x:v>REP008</x:v>
      </x:c>
      <x:c r="E83" s="15" t="str">
        <x:v>East</x:v>
      </x:c>
      <x:c r="F83" s="15" t="str">
        <x:v>Bhubaneswar</x:v>
      </x:c>
      <x:c r="G83" s="15" t="str">
        <x:v>Delivered</x:v>
      </x:c>
      <x:c r="H83" s="15" t="str">
        <x:v>Distributor</x:v>
      </x:c>
    </x:row>
    <x:row r="84">
      <x:c r="A84" s="15" t="str">
        <x:v>ORD00083</x:v>
      </x:c>
      <x:c r="B84" s="15" t="n">
        <x:v>46037</x:v>
      </x:c>
      <x:c r="C84" s="15" t="str">
        <x:v>CUST0081</x:v>
      </x:c>
      <x:c r="D84" s="15" t="str">
        <x:v>REP006</x:v>
      </x:c>
      <x:c r="E84" s="15" t="str">
        <x:v>West</x:v>
      </x:c>
      <x:c r="F84" s="15" t="str">
        <x:v>Mumbai</x:v>
      </x:c>
      <x:c r="G84" s="15" t="str">
        <x:v>Delivered</x:v>
      </x:c>
      <x:c r="H84" s="15" t="str">
        <x:v>Distributor</x:v>
      </x:c>
    </x:row>
    <x:row r="85">
      <x:c r="A85" s="15" t="str">
        <x:v>ORD00084</x:v>
      </x:c>
      <x:c r="B85" s="15" t="n">
        <x:v>46046</x:v>
      </x:c>
      <x:c r="C85" s="15" t="str">
        <x:v>CUST0055</x:v>
      </x:c>
      <x:c r="D85" s="15" t="str">
        <x:v>REP011</x:v>
      </x:c>
      <x:c r="E85" s="15" t="str">
        <x:v>North</x:v>
      </x:c>
      <x:c r="F85" s="15" t="str">
        <x:v>Jaipur</x:v>
      </x:c>
      <x:c r="G85" s="15" t="str">
        <x:v>Delivered</x:v>
      </x:c>
      <x:c r="H85" s="15" t="str">
        <x:v>Online</x:v>
      </x:c>
    </x:row>
    <x:row r="86">
      <x:c r="A86" s="15" t="str">
        <x:v>ORD00085</x:v>
      </x:c>
      <x:c r="B86" s="15" t="n">
        <x:v>45738</x:v>
      </x:c>
      <x:c r="C86" s="15" t="str">
        <x:v>CUST0046</x:v>
      </x:c>
      <x:c r="D86" s="15" t="str">
        <x:v>REP012</x:v>
      </x:c>
      <x:c r="E86" s="15" t="str">
        <x:v>East</x:v>
      </x:c>
      <x:c r="F86" s="15" t="str">
        <x:v>Bhubaneswar</x:v>
      </x:c>
      <x:c r="G86" s="15" t="str">
        <x:v>Cancelled</x:v>
      </x:c>
      <x:c r="H86" s="15" t="str">
        <x:v>Online</x:v>
      </x:c>
    </x:row>
    <x:row r="87">
      <x:c r="A87" s="15" t="str">
        <x:v>ORD00086</x:v>
      </x:c>
      <x:c r="B87" s="15" t="n">
        <x:v>46135</x:v>
      </x:c>
      <x:c r="C87" s="15" t="str">
        <x:v>CUST0044</x:v>
      </x:c>
      <x:c r="D87" s="15" t="str">
        <x:v>REP003</x:v>
      </x:c>
      <x:c r="E87" s="15" t="str">
        <x:v>North</x:v>
      </x:c>
      <x:c r="F87" s="15" t="str">
        <x:v>Lucknow</x:v>
      </x:c>
      <x:c r="G87" s="15" t="str">
        <x:v>Delivered</x:v>
      </x:c>
      <x:c r="H87" s="15" t="str">
        <x:v>Direct Sales</x:v>
      </x:c>
    </x:row>
    <x:row r="88">
      <x:c r="A88" s="15" t="str">
        <x:v>ORD00087</x:v>
      </x:c>
      <x:c r="B88" s="15" t="n">
        <x:v>46026</x:v>
      </x:c>
      <x:c r="C88" s="15" t="str">
        <x:v>CUST0025</x:v>
      </x:c>
      <x:c r="D88" s="15" t="str">
        <x:v>REP007</x:v>
      </x:c>
      <x:c r="E88" s="15" t="str">
        <x:v>North</x:v>
      </x:c>
      <x:c r="F88" s="15" t="str">
        <x:v>Lucknow</x:v>
      </x:c>
      <x:c r="G88" s="15" t="str">
        <x:v>Pending</x:v>
      </x:c>
      <x:c r="H88" s="15" t="str">
        <x:v>Online</x:v>
      </x:c>
    </x:row>
    <x:row r="89">
      <x:c r="A89" s="15" t="str">
        <x:v>ORD00088</x:v>
      </x:c>
      <x:c r="B89" s="15" t="n">
        <x:v>46144</x:v>
      </x:c>
      <x:c r="C89" s="15" t="str">
        <x:v>CUST0086</x:v>
      </x:c>
      <x:c r="D89" s="15" t="str">
        <x:v>REP016</x:v>
      </x:c>
      <x:c r="E89" s="15" t="str">
        <x:v>East</x:v>
      </x:c>
      <x:c r="F89" s="15" t="str">
        <x:v>Kolkata</x:v>
      </x:c>
      <x:c r="G89" s="15" t="str">
        <x:v>Pending</x:v>
      </x:c>
      <x:c r="H89" s="15" t="str">
        <x:v>Direct Sales</x:v>
      </x:c>
    </x:row>
    <x:row r="90">
      <x:c r="A90" s="15" t="str">
        <x:v>ORD00089</x:v>
      </x:c>
      <x:c r="B90" s="15" t="n">
        <x:v>45903</x:v>
      </x:c>
      <x:c r="C90" s="15" t="str">
        <x:v>CUST0035</x:v>
      </x:c>
      <x:c r="D90" s="15" t="str">
        <x:v>REP006</x:v>
      </x:c>
      <x:c r="E90" s="15" t="str">
        <x:v>West</x:v>
      </x:c>
      <x:c r="F90" s="15" t="str">
        <x:v>Pune</x:v>
      </x:c>
      <x:c r="G90" s="15" t="str">
        <x:v>Delivered</x:v>
      </x:c>
      <x:c r="H90" s="15" t="str">
        <x:v>Online</x:v>
      </x:c>
    </x:row>
    <x:row r="91">
      <x:c r="A91" s="15" t="str">
        <x:v>ORD00090</x:v>
      </x:c>
      <x:c r="B91" s="15" t="n">
        <x:v>45773</x:v>
      </x:c>
      <x:c r="C91" s="15" t="str">
        <x:v>CUST0086</x:v>
      </x:c>
      <x:c r="D91" s="15" t="str">
        <x:v>REP012</x:v>
      </x:c>
      <x:c r="E91" s="15" t="str">
        <x:v>East</x:v>
      </x:c>
      <x:c r="F91" s="15" t="str">
        <x:v>Kolkata</x:v>
      </x:c>
      <x:c r="G91" s="15" t="str">
        <x:v>Pending</x:v>
      </x:c>
      <x:c r="H91" s="15" t="str">
        <x:v>Online</x:v>
      </x:c>
    </x:row>
    <x:row r="92">
      <x:c r="A92" s="15" t="str">
        <x:v>ORD00091</x:v>
      </x:c>
      <x:c r="B92" s="15" t="n">
        <x:v>46105</x:v>
      </x:c>
      <x:c r="C92" s="15" t="str">
        <x:v>CUST0008</x:v>
      </x:c>
      <x:c r="D92" s="15" t="str">
        <x:v>REP005</x:v>
      </x:c>
      <x:c r="E92" s="15" t="str">
        <x:v>South</x:v>
      </x:c>
      <x:c r="F92" s="15" t="str">
        <x:v>Chennai</x:v>
      </x:c>
      <x:c r="G92" s="15" t="str">
        <x:v>Delivered</x:v>
      </x:c>
      <x:c r="H92" s="15" t="str">
        <x:v>Distributor</x:v>
      </x:c>
    </x:row>
    <x:row r="93">
      <x:c r="A93" s="15" t="str">
        <x:v>ORD00092</x:v>
      </x:c>
      <x:c r="B93" s="15" t="n">
        <x:v>46150</x:v>
      </x:c>
      <x:c r="C93" s="15" t="str">
        <x:v>CUST0081</x:v>
      </x:c>
      <x:c r="D93" s="15" t="str">
        <x:v>REP002</x:v>
      </x:c>
      <x:c r="E93" s="15" t="str">
        <x:v>West</x:v>
      </x:c>
      <x:c r="F93" s="15" t="str">
        <x:v>Mumbai</x:v>
      </x:c>
      <x:c r="G93" s="15" t="str">
        <x:v>Pending</x:v>
      </x:c>
      <x:c r="H93" s="15" t="str">
        <x:v>Direct Sales</x:v>
      </x:c>
    </x:row>
    <x:row r="94">
      <x:c r="A94" s="15" t="str">
        <x:v>ORD00093</x:v>
      </x:c>
      <x:c r="B94" s="15" t="n">
        <x:v>45833</x:v>
      </x:c>
      <x:c r="C94" s="15" t="str">
        <x:v>CUST0093</x:v>
      </x:c>
      <x:c r="D94" s="15" t="str">
        <x:v>REP001</x:v>
      </x:c>
      <x:c r="E94" s="15" t="str">
        <x:v>South</x:v>
      </x:c>
      <x:c r="F94" s="15" t="str">
        <x:v>Chennai</x:v>
      </x:c>
      <x:c r="G94" s="15" t="str">
        <x:v>Delivered</x:v>
      </x:c>
      <x:c r="H94" s="15" t="str">
        <x:v>Distributor</x:v>
      </x:c>
    </x:row>
    <x:row r="95">
      <x:c r="A95" s="15" t="str">
        <x:v>ORD00094</x:v>
      </x:c>
      <x:c r="B95" s="15" t="n">
        <x:v>45838</x:v>
      </x:c>
      <x:c r="C95" s="15" t="str">
        <x:v>CUST0084</x:v>
      </x:c>
      <x:c r="D95" s="15" t="str">
        <x:v>REP013</x:v>
      </x:c>
      <x:c r="E95" s="15" t="str">
        <x:v>South</x:v>
      </x:c>
      <x:c r="F95" s="15" t="str">
        <x:v>Chennai</x:v>
      </x:c>
      <x:c r="G95" s="15" t="str">
        <x:v>Delivered</x:v>
      </x:c>
      <x:c r="H95" s="15" t="str">
        <x:v>Direct Sales</x:v>
      </x:c>
    </x:row>
    <x:row r="96">
      <x:c r="A96" s="15" t="str">
        <x:v>ORD00095</x:v>
      </x:c>
      <x:c r="B96" s="15" t="n">
        <x:v>45845</x:v>
      </x:c>
      <x:c r="C96" s="15" t="str">
        <x:v>CUST0049</x:v>
      </x:c>
      <x:c r="D96" s="15" t="str">
        <x:v>REP008</x:v>
      </x:c>
      <x:c r="E96" s="15" t="str">
        <x:v>East</x:v>
      </x:c>
      <x:c r="F96" s="15" t="str">
        <x:v>Bhubaneswar</x:v>
      </x:c>
      <x:c r="G96" s="15" t="str">
        <x:v>Delivered</x:v>
      </x:c>
      <x:c r="H96" s="15" t="str">
        <x:v>Online</x:v>
      </x:c>
    </x:row>
    <x:row r="97">
      <x:c r="A97" s="15" t="str">
        <x:v>ORD00096</x:v>
      </x:c>
      <x:c r="B97" s="15" t="n">
        <x:v>45846</x:v>
      </x:c>
      <x:c r="C97" s="15" t="str">
        <x:v>CUST0015</x:v>
      </x:c>
      <x:c r="D97" s="15" t="str">
        <x:v>REP014</x:v>
      </x:c>
      <x:c r="E97" s="15" t="str">
        <x:v>West</x:v>
      </x:c>
      <x:c r="F97" s="15" t="str">
        <x:v>Mumbai</x:v>
      </x:c>
      <x:c r="G97" s="15" t="str">
        <x:v>Delivered</x:v>
      </x:c>
      <x:c r="H97" s="15" t="str">
        <x:v>Online</x:v>
      </x:c>
    </x:row>
    <x:row r="98">
      <x:c r="A98" s="15" t="str">
        <x:v>ORD00097</x:v>
      </x:c>
      <x:c r="B98" s="15" t="n">
        <x:v>45735</x:v>
      </x:c>
      <x:c r="C98" s="15" t="str">
        <x:v>CUST0073</x:v>
      </x:c>
      <x:c r="D98" s="15" t="str">
        <x:v>REP016</x:v>
      </x:c>
      <x:c r="E98" s="15" t="str">
        <x:v>East</x:v>
      </x:c>
      <x:c r="F98" s="15" t="str">
        <x:v>Guwahati</x:v>
      </x:c>
      <x:c r="G98" s="15" t="str">
        <x:v>Delivered</x:v>
      </x:c>
      <x:c r="H98" s="15" t="str">
        <x:v>Distributor</x:v>
      </x:c>
    </x:row>
    <x:row r="99">
      <x:c r="A99" s="15" t="str">
        <x:v>ORD00098</x:v>
      </x:c>
      <x:c r="B99" s="15" t="n">
        <x:v>46086</x:v>
      </x:c>
      <x:c r="C99" s="15" t="str">
        <x:v>CUST0039</x:v>
      </x:c>
      <x:c r="D99" s="15" t="str">
        <x:v>REP006</x:v>
      </x:c>
      <x:c r="E99" s="15" t="str">
        <x:v>West</x:v>
      </x:c>
      <x:c r="F99" s="15" t="str">
        <x:v>Pune</x:v>
      </x:c>
      <x:c r="G99" s="15" t="str">
        <x:v>Delivered</x:v>
      </x:c>
      <x:c r="H99" s="15" t="str">
        <x:v>Online</x:v>
      </x:c>
    </x:row>
    <x:row r="100">
      <x:c r="A100" s="15" t="str">
        <x:v>ORD00099</x:v>
      </x:c>
      <x:c r="B100" s="15" t="n">
        <x:v>45702</x:v>
      </x:c>
      <x:c r="C100" s="15" t="str">
        <x:v>CUST0038</x:v>
      </x:c>
      <x:c r="D100" s="15" t="str">
        <x:v>REP010</x:v>
      </x:c>
      <x:c r="E100" s="15" t="str">
        <x:v>West</x:v>
      </x:c>
      <x:c r="F100" s="15" t="str">
        <x:v>Ahmedabad</x:v>
      </x:c>
      <x:c r="G100" s="15" t="str">
        <x:v>Delivered</x:v>
      </x:c>
      <x:c r="H100" s="15" t="str">
        <x:v>Online</x:v>
      </x:c>
    </x:row>
    <x:row r="101">
      <x:c r="A101" s="15" t="str">
        <x:v>ORD00100</x:v>
      </x:c>
      <x:c r="B101" s="15" t="n">
        <x:v>46073</x:v>
      </x:c>
      <x:c r="C101" s="15" t="str">
        <x:v>CUST0078</x:v>
      </x:c>
      <x:c r="D101" s="15" t="str">
        <x:v>REP015</x:v>
      </x:c>
      <x:c r="E101" s="15" t="str">
        <x:v>North</x:v>
      </x:c>
      <x:c r="F101" s="15" t="str">
        <x:v>Jaipur</x:v>
      </x:c>
      <x:c r="G101" s="15" t="str">
        <x:v>Delivered</x:v>
      </x:c>
      <x:c r="H101" s="15" t="str">
        <x:v>Direct Sales</x:v>
      </x:c>
    </x:row>
    <x:row r="102">
      <x:c r="A102" s="15" t="str">
        <x:v>ORD00101</x:v>
      </x:c>
      <x:c r="B102" s="15" t="n">
        <x:v>45744</x:v>
      </x:c>
      <x:c r="C102" s="15" t="str">
        <x:v>CUST0066</x:v>
      </x:c>
      <x:c r="D102" s="15" t="str">
        <x:v>REP010</x:v>
      </x:c>
      <x:c r="E102" s="15" t="str">
        <x:v>West</x:v>
      </x:c>
      <x:c r="F102" s="15" t="str">
        <x:v>Mumbai</x:v>
      </x:c>
      <x:c r="G102" s="15" t="str">
        <x:v>Delivered</x:v>
      </x:c>
      <x:c r="H102" s="15" t="str">
        <x:v>Distributor</x:v>
      </x:c>
    </x:row>
    <x:row r="103">
      <x:c r="A103" s="15" t="str">
        <x:v>ORD00102</x:v>
      </x:c>
      <x:c r="B103" s="15" t="n">
        <x:v>46130</x:v>
      </x:c>
      <x:c r="C103" s="15" t="str">
        <x:v>CUST0075</x:v>
      </x:c>
      <x:c r="D103" s="15" t="str">
        <x:v>REP009</x:v>
      </x:c>
      <x:c r="E103" s="15" t="str">
        <x:v>South</x:v>
      </x:c>
      <x:c r="F103" s="15" t="str">
        <x:v>Chennai</x:v>
      </x:c>
      <x:c r="G103" s="15" t="str">
        <x:v>Delivered</x:v>
      </x:c>
      <x:c r="H103" s="15" t="str">
        <x:v>Distributor</x:v>
      </x:c>
    </x:row>
    <x:row r="104">
      <x:c r="A104" s="15" t="str">
        <x:v>ORD00103</x:v>
      </x:c>
      <x:c r="B104" s="15" t="n">
        <x:v>45699</x:v>
      </x:c>
      <x:c r="C104" s="15" t="str">
        <x:v>CUST0074</x:v>
      </x:c>
      <x:c r="D104" s="15" t="str">
        <x:v>REP001</x:v>
      </x:c>
      <x:c r="E104" s="15" t="str">
        <x:v>South</x:v>
      </x:c>
      <x:c r="F104" s="15" t="str">
        <x:v>Bengaluru</x:v>
      </x:c>
      <x:c r="G104" s="15" t="str">
        <x:v>Delivered</x:v>
      </x:c>
      <x:c r="H104" s="15" t="str">
        <x:v>Distributor</x:v>
      </x:c>
    </x:row>
    <x:row r="105">
      <x:c r="A105" s="15" t="str">
        <x:v>ORD00104</x:v>
      </x:c>
      <x:c r="B105" s="15" t="n">
        <x:v>46036</x:v>
      </x:c>
      <x:c r="C105" s="15" t="str">
        <x:v>CUST0049</x:v>
      </x:c>
      <x:c r="D105" s="15" t="str">
        <x:v>REP008</x:v>
      </x:c>
      <x:c r="E105" s="15" t="str">
        <x:v>East</x:v>
      </x:c>
      <x:c r="F105" s="15" t="str">
        <x:v>Bhubaneswar</x:v>
      </x:c>
      <x:c r="G105" s="15" t="str">
        <x:v>Delivered</x:v>
      </x:c>
      <x:c r="H105" s="15" t="str">
        <x:v>Distributor</x:v>
      </x:c>
    </x:row>
    <x:row r="106">
      <x:c r="A106" s="15" t="str">
        <x:v>ORD00105</x:v>
      </x:c>
      <x:c r="B106" s="15" t="n">
        <x:v>45892</x:v>
      </x:c>
      <x:c r="C106" s="15" t="str">
        <x:v>CUST0079</x:v>
      </x:c>
      <x:c r="D106" s="15" t="str">
        <x:v>REP002</x:v>
      </x:c>
      <x:c r="E106" s="15" t="str">
        <x:v>West</x:v>
      </x:c>
      <x:c r="F106" s="15" t="str">
        <x:v>Mumbai</x:v>
      </x:c>
      <x:c r="G106" s="15" t="str">
        <x:v>Delivered</x:v>
      </x:c>
      <x:c r="H106" s="15" t="str">
        <x:v>Distributor</x:v>
      </x:c>
    </x:row>
    <x:row r="107">
      <x:c r="A107" s="15" t="str">
        <x:v>ORD00106</x:v>
      </x:c>
      <x:c r="B107" s="15" t="n">
        <x:v>45901</x:v>
      </x:c>
      <x:c r="C107" s="15" t="str">
        <x:v>CUST0030</x:v>
      </x:c>
      <x:c r="D107" s="15" t="str">
        <x:v>REP007</x:v>
      </x:c>
      <x:c r="E107" s="15" t="str">
        <x:v>North</x:v>
      </x:c>
      <x:c r="F107" s="15" t="str">
        <x:v>Jaipur</x:v>
      </x:c>
      <x:c r="G107" s="15" t="str">
        <x:v>Cancelled</x:v>
      </x:c>
      <x:c r="H107" s="15" t="str">
        <x:v>Online</x:v>
      </x:c>
    </x:row>
    <x:row r="108">
      <x:c r="A108" s="15" t="str">
        <x:v>ORD00107</x:v>
      </x:c>
      <x:c r="B108" s="15" t="n">
        <x:v>46084</x:v>
      </x:c>
      <x:c r="C108" s="15" t="str">
        <x:v>CUST0099</x:v>
      </x:c>
      <x:c r="D108" s="15" t="str">
        <x:v>REP015</x:v>
      </x:c>
      <x:c r="E108" s="15" t="str">
        <x:v>North</x:v>
      </x:c>
      <x:c r="F108" s="15" t="str">
        <x:v>Lucknow</x:v>
      </x:c>
      <x:c r="G108" s="15" t="str">
        <x:v>Delivered</x:v>
      </x:c>
      <x:c r="H108" s="15" t="str">
        <x:v>Direct Sales</x:v>
      </x:c>
    </x:row>
    <x:row r="109">
      <x:c r="A109" s="15" t="str">
        <x:v>ORD00108</x:v>
      </x:c>
      <x:c r="B109" s="15" t="n">
        <x:v>46015</x:v>
      </x:c>
      <x:c r="C109" s="15" t="str">
        <x:v>CUST0031</x:v>
      </x:c>
      <x:c r="D109" s="15" t="str">
        <x:v>REP002</x:v>
      </x:c>
      <x:c r="E109" s="15" t="str">
        <x:v>West</x:v>
      </x:c>
      <x:c r="F109" s="15" t="str">
        <x:v>Pune</x:v>
      </x:c>
      <x:c r="G109" s="15" t="str">
        <x:v>Delivered</x:v>
      </x:c>
      <x:c r="H109" s="15" t="str">
        <x:v>Distributor</x:v>
      </x:c>
    </x:row>
    <x:row r="110">
      <x:c r="A110" s="15" t="str">
        <x:v>ORD00109</x:v>
      </x:c>
      <x:c r="B110" s="15" t="n">
        <x:v>45829</x:v>
      </x:c>
      <x:c r="C110" s="15" t="str">
        <x:v>CUST0071</x:v>
      </x:c>
      <x:c r="D110" s="15" t="str">
        <x:v>REP012</x:v>
      </x:c>
      <x:c r="E110" s="15" t="str">
        <x:v>East</x:v>
      </x:c>
      <x:c r="F110" s="15" t="str">
        <x:v>Kolkata</x:v>
      </x:c>
      <x:c r="G110" s="15" t="str">
        <x:v>Delivered</x:v>
      </x:c>
      <x:c r="H110" s="15" t="str">
        <x:v>Direct Sales</x:v>
      </x:c>
    </x:row>
    <x:row r="111">
      <x:c r="A111" s="15" t="str">
        <x:v>ORD00110</x:v>
      </x:c>
      <x:c r="B111" s="15" t="n">
        <x:v>45743</x:v>
      </x:c>
      <x:c r="C111" s="15" t="str">
        <x:v>CUST0021</x:v>
      </x:c>
      <x:c r="D111" s="15" t="str">
        <x:v>REP009</x:v>
      </x:c>
      <x:c r="E111" s="15" t="str">
        <x:v>South</x:v>
      </x:c>
      <x:c r="F111" s="15" t="str">
        <x:v>Bengaluru</x:v>
      </x:c>
      <x:c r="G111" s="15" t="str">
        <x:v>Delivered</x:v>
      </x:c>
      <x:c r="H111" s="15" t="str">
        <x:v>Distributor</x:v>
      </x:c>
    </x:row>
    <x:row r="112">
      <x:c r="A112" s="15" t="str">
        <x:v>ORD00111</x:v>
      </x:c>
      <x:c r="B112" s="15" t="n">
        <x:v>46029</x:v>
      </x:c>
      <x:c r="C112" s="15" t="str">
        <x:v>CUST0096</x:v>
      </x:c>
      <x:c r="D112" s="15" t="str">
        <x:v>REP007</x:v>
      </x:c>
      <x:c r="E112" s="15" t="str">
        <x:v>North</x:v>
      </x:c>
      <x:c r="F112" s="15" t="str">
        <x:v>Lucknow</x:v>
      </x:c>
      <x:c r="G112" s="15" t="str">
        <x:v>Delivered</x:v>
      </x:c>
      <x:c r="H112" s="15" t="str">
        <x:v>Distributor</x:v>
      </x:c>
    </x:row>
    <x:row r="113">
      <x:c r="A113" s="15" t="str">
        <x:v>ORD00112</x:v>
      </x:c>
      <x:c r="B113" s="15" t="n">
        <x:v>45832</x:v>
      </x:c>
      <x:c r="C113" s="15" t="str">
        <x:v>CUST0083</x:v>
      </x:c>
      <x:c r="D113" s="15" t="str">
        <x:v>REP015</x:v>
      </x:c>
      <x:c r="E113" s="15" t="str">
        <x:v>North</x:v>
      </x:c>
      <x:c r="F113" s="15" t="str">
        <x:v>Jaipur</x:v>
      </x:c>
      <x:c r="G113" s="15" t="str">
        <x:v>Delivered</x:v>
      </x:c>
      <x:c r="H113" s="15" t="str">
        <x:v>Online</x:v>
      </x:c>
    </x:row>
    <x:row r="114">
      <x:c r="A114" s="15" t="str">
        <x:v>ORD00113</x:v>
      </x:c>
      <x:c r="B114" s="15" t="n">
        <x:v>46153</x:v>
      </x:c>
      <x:c r="C114" s="15" t="str">
        <x:v>CUST0039</x:v>
      </x:c>
      <x:c r="D114" s="15" t="str">
        <x:v>REP014</x:v>
      </x:c>
      <x:c r="E114" s="15" t="str">
        <x:v>West</x:v>
      </x:c>
      <x:c r="F114" s="15" t="str">
        <x:v>Pune</x:v>
      </x:c>
      <x:c r="G114" s="15" t="str">
        <x:v>Delivered</x:v>
      </x:c>
      <x:c r="H114" s="15" t="str">
        <x:v>Online</x:v>
      </x:c>
    </x:row>
    <x:row r="115">
      <x:c r="A115" s="15" t="str">
        <x:v>ORD00114</x:v>
      </x:c>
      <x:c r="B115" s="15" t="n">
        <x:v>45991</x:v>
      </x:c>
      <x:c r="C115" s="15" t="str">
        <x:v>CUST0029</x:v>
      </x:c>
      <x:c r="D115" s="15" t="str">
        <x:v>REP005</x:v>
      </x:c>
      <x:c r="E115" s="15" t="str">
        <x:v>South</x:v>
      </x:c>
      <x:c r="F115" s="15" t="str">
        <x:v>Chennai</x:v>
      </x:c>
      <x:c r="G115" s="15" t="str">
        <x:v>Delivered</x:v>
      </x:c>
      <x:c r="H115" s="15" t="str">
        <x:v>Direct Sales</x:v>
      </x:c>
    </x:row>
    <x:row r="116">
      <x:c r="A116" s="15" t="str">
        <x:v>ORD00115</x:v>
      </x:c>
      <x:c r="B116" s="15" t="n">
        <x:v>45674</x:v>
      </x:c>
      <x:c r="C116" s="15" t="str">
        <x:v>CUST0038</x:v>
      </x:c>
      <x:c r="D116" s="15" t="str">
        <x:v>REP010</x:v>
      </x:c>
      <x:c r="E116" s="15" t="str">
        <x:v>West</x:v>
      </x:c>
      <x:c r="F116" s="15" t="str">
        <x:v>Ahmedabad</x:v>
      </x:c>
      <x:c r="G116" s="15" t="str">
        <x:v>Delivered</x:v>
      </x:c>
      <x:c r="H116" s="15" t="str">
        <x:v>Online</x:v>
      </x:c>
    </x:row>
    <x:row r="117">
      <x:c r="A117" s="15" t="str">
        <x:v>ORD00116</x:v>
      </x:c>
      <x:c r="B117" s="15" t="n">
        <x:v>45739</x:v>
      </x:c>
      <x:c r="C117" s="15" t="str">
        <x:v>CUST0096</x:v>
      </x:c>
      <x:c r="D117" s="15" t="str">
        <x:v>REP007</x:v>
      </x:c>
      <x:c r="E117" s="15" t="str">
        <x:v>North</x:v>
      </x:c>
      <x:c r="F117" s="15" t="str">
        <x:v>Lucknow</x:v>
      </x:c>
      <x:c r="G117" s="15" t="str">
        <x:v>Delivered</x:v>
      </x:c>
      <x:c r="H117" s="15" t="str">
        <x:v>Direct Sales</x:v>
      </x:c>
    </x:row>
    <x:row r="118">
      <x:c r="A118" s="15" t="str">
        <x:v>ORD00117</x:v>
      </x:c>
      <x:c r="B118" s="15" t="n">
        <x:v>45789</x:v>
      </x:c>
      <x:c r="C118" s="15" t="str">
        <x:v>CUST0059</x:v>
      </x:c>
      <x:c r="D118" s="15" t="str">
        <x:v>REP010</x:v>
      </x:c>
      <x:c r="E118" s="15" t="str">
        <x:v>West</x:v>
      </x:c>
      <x:c r="F118" s="15" t="str">
        <x:v>Pune</x:v>
      </x:c>
      <x:c r="G118" s="15" t="str">
        <x:v>Delivered</x:v>
      </x:c>
      <x:c r="H118" s="15" t="str">
        <x:v>Distributor</x:v>
      </x:c>
    </x:row>
    <x:row r="119">
      <x:c r="A119" s="15" t="str">
        <x:v>ORD00118</x:v>
      </x:c>
      <x:c r="B119" s="15" t="n">
        <x:v>46114</x:v>
      </x:c>
      <x:c r="C119" s="15" t="str">
        <x:v>CUST0036</x:v>
      </x:c>
      <x:c r="D119" s="15" t="str">
        <x:v>REP010</x:v>
      </x:c>
      <x:c r="E119" s="15" t="str">
        <x:v>West</x:v>
      </x:c>
      <x:c r="F119" s="15" t="str">
        <x:v>Ahmedabad</x:v>
      </x:c>
      <x:c r="G119" s="15" t="str">
        <x:v>Delivered</x:v>
      </x:c>
      <x:c r="H119" s="15" t="str">
        <x:v>Direct Sales</x:v>
      </x:c>
    </x:row>
    <x:row r="120">
      <x:c r="A120" s="15" t="str">
        <x:v>ORD00119</x:v>
      </x:c>
      <x:c r="B120" s="15" t="n">
        <x:v>45767</x:v>
      </x:c>
      <x:c r="C120" s="15" t="str">
        <x:v>CUST0009</x:v>
      </x:c>
      <x:c r="D120" s="15" t="str">
        <x:v>REP013</x:v>
      </x:c>
      <x:c r="E120" s="15" t="str">
        <x:v>South</x:v>
      </x:c>
      <x:c r="F120" s="15" t="str">
        <x:v>Hyderabad</x:v>
      </x:c>
      <x:c r="G120" s="15" t="str">
        <x:v>Delivered</x:v>
      </x:c>
      <x:c r="H120" s="15" t="str">
        <x:v>Online</x:v>
      </x:c>
    </x:row>
    <x:row r="121">
      <x:c r="A121" s="15" t="str">
        <x:v>ORD00120</x:v>
      </x:c>
      <x:c r="B121" s="15" t="n">
        <x:v>46108</x:v>
      </x:c>
      <x:c r="C121" s="15" t="str">
        <x:v>CUST0004</x:v>
      </x:c>
      <x:c r="D121" s="15" t="str">
        <x:v>REP008</x:v>
      </x:c>
      <x:c r="E121" s="15" t="str">
        <x:v>East</x:v>
      </x:c>
      <x:c r="F121" s="15" t="str">
        <x:v>Bhubaneswar</x:v>
      </x:c>
      <x:c r="G121" s="15" t="str">
        <x:v>Delivered</x:v>
      </x:c>
      <x:c r="H121" s="15" t="str">
        <x:v>Online</x:v>
      </x:c>
    </x:row>
    <x:row r="122">
      <x:c r="A122" s="15" t="str">
        <x:v>ORD00121</x:v>
      </x:c>
      <x:c r="B122" s="15" t="n">
        <x:v>46133</x:v>
      </x:c>
      <x:c r="C122" s="15" t="str">
        <x:v>CUST0085</x:v>
      </x:c>
      <x:c r="D122" s="15" t="str">
        <x:v>REP014</x:v>
      </x:c>
      <x:c r="E122" s="15" t="str">
        <x:v>West</x:v>
      </x:c>
      <x:c r="F122" s="15" t="str">
        <x:v>Pune</x:v>
      </x:c>
      <x:c r="G122" s="15" t="str">
        <x:v>Delivered</x:v>
      </x:c>
      <x:c r="H122" s="15" t="str">
        <x:v>Online</x:v>
      </x:c>
    </x:row>
    <x:row r="123">
      <x:c r="A123" s="15" t="str">
        <x:v>ORD00122</x:v>
      </x:c>
      <x:c r="B123" s="15" t="n">
        <x:v>45660</x:v>
      </x:c>
      <x:c r="C123" s="15" t="str">
        <x:v>CUST0100</x:v>
      </x:c>
      <x:c r="D123" s="15" t="str">
        <x:v>REP006</x:v>
      </x:c>
      <x:c r="E123" s="15" t="str">
        <x:v>West</x:v>
      </x:c>
      <x:c r="F123" s="15" t="str">
        <x:v>Mumbai</x:v>
      </x:c>
      <x:c r="G123" s="15" t="str">
        <x:v>Delivered</x:v>
      </x:c>
      <x:c r="H123" s="15" t="str">
        <x:v>Distributor</x:v>
      </x:c>
    </x:row>
    <x:row r="124">
      <x:c r="A124" s="15" t="str">
        <x:v>ORD00123</x:v>
      </x:c>
      <x:c r="B124" s="15" t="n">
        <x:v>45684</x:v>
      </x:c>
      <x:c r="C124" s="15" t="str">
        <x:v>CUST0065</x:v>
      </x:c>
      <x:c r="D124" s="15" t="str">
        <x:v>REP007</x:v>
      </x:c>
      <x:c r="E124" s="15" t="str">
        <x:v>North</x:v>
      </x:c>
      <x:c r="F124" s="15" t="str">
        <x:v>Jaipur</x:v>
      </x:c>
      <x:c r="G124" s="15" t="str">
        <x:v>Delivered</x:v>
      </x:c>
      <x:c r="H124" s="15" t="str">
        <x:v>Distributor</x:v>
      </x:c>
    </x:row>
    <x:row r="125">
      <x:c r="A125" s="15" t="str">
        <x:v>ORD00124</x:v>
      </x:c>
      <x:c r="B125" s="15" t="n">
        <x:v>45956</x:v>
      </x:c>
      <x:c r="C125" s="15" t="str">
        <x:v>CUST0072</x:v>
      </x:c>
      <x:c r="D125" s="15" t="str">
        <x:v>REP013</x:v>
      </x:c>
      <x:c r="E125" s="15" t="str">
        <x:v>South</x:v>
      </x:c>
      <x:c r="F125" s="15" t="str">
        <x:v>Bengaluru</x:v>
      </x:c>
      <x:c r="G125" s="15" t="str">
        <x:v>Delivered</x:v>
      </x:c>
      <x:c r="H125" s="15" t="str">
        <x:v>Online</x:v>
      </x:c>
    </x:row>
    <x:row r="126">
      <x:c r="A126" s="15" t="str">
        <x:v>ORD00125</x:v>
      </x:c>
      <x:c r="B126" s="15" t="n">
        <x:v>45940</x:v>
      </x:c>
      <x:c r="C126" s="15" t="str">
        <x:v>CUST0096</x:v>
      </x:c>
      <x:c r="D126" s="15" t="str">
        <x:v>REP011</x:v>
      </x:c>
      <x:c r="E126" s="15" t="str">
        <x:v>North</x:v>
      </x:c>
      <x:c r="F126" s="15" t="str">
        <x:v>Lucknow</x:v>
      </x:c>
      <x:c r="G126" s="15" t="str">
        <x:v>Delivered</x:v>
      </x:c>
      <x:c r="H126" s="15" t="str">
        <x:v>Online</x:v>
      </x:c>
    </x:row>
    <x:row r="127">
      <x:c r="A127" s="15" t="str">
        <x:v>ORD00126</x:v>
      </x:c>
      <x:c r="B127" s="15" t="n">
        <x:v>45737</x:v>
      </x:c>
      <x:c r="C127" s="15" t="str">
        <x:v>CUST0050</x:v>
      </x:c>
      <x:c r="D127" s="15" t="str">
        <x:v>REP012</x:v>
      </x:c>
      <x:c r="E127" s="15" t="str">
        <x:v>East</x:v>
      </x:c>
      <x:c r="F127" s="15" t="str">
        <x:v>Kolkata</x:v>
      </x:c>
      <x:c r="G127" s="15" t="str">
        <x:v>Delivered</x:v>
      </x:c>
      <x:c r="H127" s="15" t="str">
        <x:v>Online</x:v>
      </x:c>
    </x:row>
    <x:row r="128">
      <x:c r="A128" s="15" t="str">
        <x:v>ORD00127</x:v>
      </x:c>
      <x:c r="B128" s="15" t="n">
        <x:v>45995</x:v>
      </x:c>
      <x:c r="C128" s="15" t="str">
        <x:v>CUST0065</x:v>
      </x:c>
      <x:c r="D128" s="15" t="str">
        <x:v>REP011</x:v>
      </x:c>
      <x:c r="E128" s="15" t="str">
        <x:v>North</x:v>
      </x:c>
      <x:c r="F128" s="15" t="str">
        <x:v>Jaipur</x:v>
      </x:c>
      <x:c r="G128" s="15" t="str">
        <x:v>Cancelled</x:v>
      </x:c>
      <x:c r="H128" s="15" t="str">
        <x:v>Distributor</x:v>
      </x:c>
    </x:row>
    <x:row r="129">
      <x:c r="A129" s="15" t="str">
        <x:v>ORD00128</x:v>
      </x:c>
      <x:c r="B129" s="15" t="n">
        <x:v>45750</x:v>
      </x:c>
      <x:c r="C129" s="15" t="str">
        <x:v>CUST0071</x:v>
      </x:c>
      <x:c r="D129" s="15" t="str">
        <x:v>REP016</x:v>
      </x:c>
      <x:c r="E129" s="15" t="str">
        <x:v>East</x:v>
      </x:c>
      <x:c r="F129" s="15" t="str">
        <x:v>Kolkata</x:v>
      </x:c>
      <x:c r="G129" s="15" t="str">
        <x:v>Cancelled</x:v>
      </x:c>
      <x:c r="H129" s="15" t="str">
        <x:v>Distributor</x:v>
      </x:c>
    </x:row>
    <x:row r="130">
      <x:c r="A130" s="15" t="str">
        <x:v>ORD00129</x:v>
      </x:c>
      <x:c r="B130" s="15" t="n">
        <x:v>45903</x:v>
      </x:c>
      <x:c r="C130" s="15" t="str">
        <x:v>CUST0082</x:v>
      </x:c>
      <x:c r="D130" s="15" t="str">
        <x:v>REP004</x:v>
      </x:c>
      <x:c r="E130" s="15" t="str">
        <x:v>East</x:v>
      </x:c>
      <x:c r="F130" s="15" t="str">
        <x:v>Guwahati</x:v>
      </x:c>
      <x:c r="G130" s="15" t="str">
        <x:v>Cancelled</x:v>
      </x:c>
      <x:c r="H130" s="15" t="str">
        <x:v>Online</x:v>
      </x:c>
    </x:row>
    <x:row r="131">
      <x:c r="A131" s="15" t="str">
        <x:v>ORD00130</x:v>
      </x:c>
      <x:c r="B131" s="15" t="n">
        <x:v>46086</x:v>
      </x:c>
      <x:c r="C131" s="15" t="str">
        <x:v>CUST0089</x:v>
      </x:c>
      <x:c r="D131" s="15" t="str">
        <x:v>REP005</x:v>
      </x:c>
      <x:c r="E131" s="15" t="str">
        <x:v>South</x:v>
      </x:c>
      <x:c r="F131" s="15" t="str">
        <x:v>Bengaluru</x:v>
      </x:c>
      <x:c r="G131" s="15" t="str">
        <x:v>Cancelled</x:v>
      </x:c>
      <x:c r="H131" s="15" t="str">
        <x:v>Distributor</x:v>
      </x:c>
    </x:row>
    <x:row r="132">
      <x:c r="A132" s="15" t="str">
        <x:v>ORD00131</x:v>
      </x:c>
      <x:c r="B132" s="15" t="n">
        <x:v>45965</x:v>
      </x:c>
      <x:c r="C132" s="15" t="str">
        <x:v>CUST0075</x:v>
      </x:c>
      <x:c r="D132" s="15" t="str">
        <x:v>REP001</x:v>
      </x:c>
      <x:c r="E132" s="15" t="str">
        <x:v>South</x:v>
      </x:c>
      <x:c r="F132" s="15" t="str">
        <x:v>Chennai</x:v>
      </x:c>
      <x:c r="G132" s="15" t="str">
        <x:v>Delivered</x:v>
      </x:c>
      <x:c r="H132" s="15" t="str">
        <x:v>Direct Sales</x:v>
      </x:c>
    </x:row>
    <x:row r="133">
      <x:c r="A133" s="15" t="str">
        <x:v>ORD00132</x:v>
      </x:c>
      <x:c r="B133" s="15" t="n">
        <x:v>45665</x:v>
      </x:c>
      <x:c r="C133" s="15" t="str">
        <x:v>CUST0048</x:v>
      </x:c>
      <x:c r="D133" s="15" t="str">
        <x:v>REP007</x:v>
      </x:c>
      <x:c r="E133" s="15" t="str">
        <x:v>North</x:v>
      </x:c>
      <x:c r="F133" s="15" t="str">
        <x:v>Lucknow</x:v>
      </x:c>
      <x:c r="G133" s="15" t="str">
        <x:v>Delivered</x:v>
      </x:c>
      <x:c r="H133" s="15" t="str">
        <x:v>Online</x:v>
      </x:c>
    </x:row>
    <x:row r="134">
      <x:c r="A134" s="15" t="str">
        <x:v>ORD00133</x:v>
      </x:c>
      <x:c r="B134" s="15" t="n">
        <x:v>45875</x:v>
      </x:c>
      <x:c r="C134" s="15" t="str">
        <x:v>CUST0015</x:v>
      </x:c>
      <x:c r="D134" s="15" t="str">
        <x:v>REP010</x:v>
      </x:c>
      <x:c r="E134" s="15" t="str">
        <x:v>West</x:v>
      </x:c>
      <x:c r="F134" s="15" t="str">
        <x:v>Mumbai</x:v>
      </x:c>
      <x:c r="G134" s="15" t="str">
        <x:v>Delivered</x:v>
      </x:c>
      <x:c r="H134" s="15" t="str">
        <x:v>Direct Sales</x:v>
      </x:c>
    </x:row>
    <x:row r="135">
      <x:c r="A135" s="15" t="str">
        <x:v>ORD00134</x:v>
      </x:c>
      <x:c r="B135" s="15" t="n">
        <x:v>46149</x:v>
      </x:c>
      <x:c r="C135" s="15" t="str">
        <x:v>CUST0066</x:v>
      </x:c>
      <x:c r="D135" s="15" t="str">
        <x:v>REP002</x:v>
      </x:c>
      <x:c r="E135" s="15" t="str">
        <x:v>West</x:v>
      </x:c>
      <x:c r="F135" s="15" t="str">
        <x:v>Mumbai</x:v>
      </x:c>
      <x:c r="G135" s="15" t="str">
        <x:v>Delivered</x:v>
      </x:c>
      <x:c r="H135" s="15" t="str">
        <x:v>Distributor</x:v>
      </x:c>
    </x:row>
    <x:row r="136">
      <x:c r="A136" s="15" t="str">
        <x:v>ORD00135</x:v>
      </x:c>
      <x:c r="B136" s="15" t="n">
        <x:v>46106</x:v>
      </x:c>
      <x:c r="C136" s="15" t="str">
        <x:v>CUST0012</x:v>
      </x:c>
      <x:c r="D136" s="15" t="str">
        <x:v>REP012</x:v>
      </x:c>
      <x:c r="E136" s="15" t="str">
        <x:v>East</x:v>
      </x:c>
      <x:c r="F136" s="15" t="str">
        <x:v>Bhubaneswar</x:v>
      </x:c>
      <x:c r="G136" s="15" t="str">
        <x:v>Delivered</x:v>
      </x:c>
      <x:c r="H136" s="15" t="str">
        <x:v>Direct Sales</x:v>
      </x:c>
    </x:row>
    <x:row r="137">
      <x:c r="A137" s="15" t="str">
        <x:v>ORD00136</x:v>
      </x:c>
      <x:c r="B137" s="15" t="n">
        <x:v>45692</x:v>
      </x:c>
      <x:c r="C137" s="15" t="str">
        <x:v>CUST0028</x:v>
      </x:c>
      <x:c r="D137" s="15" t="str">
        <x:v>REP015</x:v>
      </x:c>
      <x:c r="E137" s="15" t="str">
        <x:v>North</x:v>
      </x:c>
      <x:c r="F137" s="15" t="str">
        <x:v>Delhi</x:v>
      </x:c>
      <x:c r="G137" s="15" t="str">
        <x:v>Delivered</x:v>
      </x:c>
      <x:c r="H137" s="15" t="str">
        <x:v>Direct Sales</x:v>
      </x:c>
    </x:row>
    <x:row r="138">
      <x:c r="A138" s="15" t="str">
        <x:v>ORD00137</x:v>
      </x:c>
      <x:c r="B138" s="15" t="n">
        <x:v>45920</x:v>
      </x:c>
      <x:c r="C138" s="15" t="str">
        <x:v>CUST0030</x:v>
      </x:c>
      <x:c r="D138" s="15" t="str">
        <x:v>REP003</x:v>
      </x:c>
      <x:c r="E138" s="15" t="str">
        <x:v>North</x:v>
      </x:c>
      <x:c r="F138" s="15" t="str">
        <x:v>Jaipur</x:v>
      </x:c>
      <x:c r="G138" s="15" t="str">
        <x:v>Pending</x:v>
      </x:c>
      <x:c r="H138" s="15" t="str">
        <x:v>Online</x:v>
      </x:c>
    </x:row>
    <x:row r="139">
      <x:c r="A139" s="15" t="str">
        <x:v>ORD00138</x:v>
      </x:c>
      <x:c r="B139" s="15" t="n">
        <x:v>45658</x:v>
      </x:c>
      <x:c r="C139" s="15" t="str">
        <x:v>CUST0049</x:v>
      </x:c>
      <x:c r="D139" s="15" t="str">
        <x:v>REP008</x:v>
      </x:c>
      <x:c r="E139" s="15" t="str">
        <x:v>East</x:v>
      </x:c>
      <x:c r="F139" s="15" t="str">
        <x:v>Bhubaneswar</x:v>
      </x:c>
      <x:c r="G139" s="15" t="str">
        <x:v>Delivered</x:v>
      </x:c>
      <x:c r="H139" s="15" t="str">
        <x:v>Online</x:v>
      </x:c>
    </x:row>
    <x:row r="140">
      <x:c r="A140" s="15" t="str">
        <x:v>ORD00139</x:v>
      </x:c>
      <x:c r="B140" s="15" t="n">
        <x:v>45965</x:v>
      </x:c>
      <x:c r="C140" s="15" t="str">
        <x:v>CUST0069</x:v>
      </x:c>
      <x:c r="D140" s="15" t="str">
        <x:v>REP007</x:v>
      </x:c>
      <x:c r="E140" s="15" t="str">
        <x:v>North</x:v>
      </x:c>
      <x:c r="F140" s="15" t="str">
        <x:v>Delhi</x:v>
      </x:c>
      <x:c r="G140" s="15" t="str">
        <x:v>Cancelled</x:v>
      </x:c>
      <x:c r="H140" s="15" t="str">
        <x:v>Direct Sales</x:v>
      </x:c>
    </x:row>
    <x:row r="141">
      <x:c r="A141" s="15" t="str">
        <x:v>ORD00140</x:v>
      </x:c>
      <x:c r="B141" s="15" t="n">
        <x:v>45846</x:v>
      </x:c>
      <x:c r="C141" s="15" t="str">
        <x:v>CUST0083</x:v>
      </x:c>
      <x:c r="D141" s="15" t="str">
        <x:v>REP015</x:v>
      </x:c>
      <x:c r="E141" s="15" t="str">
        <x:v>North</x:v>
      </x:c>
      <x:c r="F141" s="15" t="str">
        <x:v>Jaipur</x:v>
      </x:c>
      <x:c r="G141" s="15" t="str">
        <x:v>Delivered</x:v>
      </x:c>
      <x:c r="H141" s="15" t="str">
        <x:v>Direct Sales</x:v>
      </x:c>
    </x:row>
    <x:row r="142">
      <x:c r="A142" s="15" t="str">
        <x:v>ORD00141</x:v>
      </x:c>
      <x:c r="B142" s="15" t="n">
        <x:v>45745</x:v>
      </x:c>
      <x:c r="C142" s="15" t="str">
        <x:v>CUST0099</x:v>
      </x:c>
      <x:c r="D142" s="15" t="str">
        <x:v>REP011</x:v>
      </x:c>
      <x:c r="E142" s="15" t="str">
        <x:v>North</x:v>
      </x:c>
      <x:c r="F142" s="15" t="str">
        <x:v>Lucknow</x:v>
      </x:c>
      <x:c r="G142" s="15" t="str">
        <x:v>Delivered</x:v>
      </x:c>
      <x:c r="H142" s="15" t="str">
        <x:v>Direct Sales</x:v>
      </x:c>
    </x:row>
    <x:row r="143">
      <x:c r="A143" s="15" t="str">
        <x:v>ORD00142</x:v>
      </x:c>
      <x:c r="B143" s="15" t="n">
        <x:v>45989</x:v>
      </x:c>
      <x:c r="C143" s="15" t="str">
        <x:v>CUST0027</x:v>
      </x:c>
      <x:c r="D143" s="15" t="str">
        <x:v>REP008</x:v>
      </x:c>
      <x:c r="E143" s="15" t="str">
        <x:v>East</x:v>
      </x:c>
      <x:c r="F143" s="15" t="str">
        <x:v>Guwahati</x:v>
      </x:c>
      <x:c r="G143" s="15" t="str">
        <x:v>Delivered</x:v>
      </x:c>
      <x:c r="H143" s="15" t="str">
        <x:v>Distributor</x:v>
      </x:c>
    </x:row>
    <x:row r="144">
      <x:c r="A144" s="15" t="str">
        <x:v>ORD00143</x:v>
      </x:c>
      <x:c r="B144" s="15" t="n">
        <x:v>46011</x:v>
      </x:c>
      <x:c r="C144" s="15" t="str">
        <x:v>CUST0037</x:v>
      </x:c>
      <x:c r="D144" s="15" t="str">
        <x:v>REP012</x:v>
      </x:c>
      <x:c r="E144" s="15" t="str">
        <x:v>East</x:v>
      </x:c>
      <x:c r="F144" s="15" t="str">
        <x:v>Guwahati</x:v>
      </x:c>
      <x:c r="G144" s="15" t="str">
        <x:v>Delivered</x:v>
      </x:c>
      <x:c r="H144" s="15" t="str">
        <x:v>Online</x:v>
      </x:c>
    </x:row>
    <x:row r="145">
      <x:c r="A145" s="15" t="str">
        <x:v>ORD00144</x:v>
      </x:c>
      <x:c r="B145" s="15" t="n">
        <x:v>45665</x:v>
      </x:c>
      <x:c r="C145" s="15" t="str">
        <x:v>CUST0006</x:v>
      </x:c>
      <x:c r="D145" s="15" t="str">
        <x:v>REP013</x:v>
      </x:c>
      <x:c r="E145" s="15" t="str">
        <x:v>South</x:v>
      </x:c>
      <x:c r="F145" s="15" t="str">
        <x:v>Chennai</x:v>
      </x:c>
      <x:c r="G145" s="15" t="str">
        <x:v>Cancelled</x:v>
      </x:c>
      <x:c r="H145" s="15" t="str">
        <x:v>Online</x:v>
      </x:c>
    </x:row>
    <x:row r="146">
      <x:c r="A146" s="15" t="str">
        <x:v>ORD00145</x:v>
      </x:c>
      <x:c r="B146" s="15" t="n">
        <x:v>45825</x:v>
      </x:c>
      <x:c r="C146" s="15" t="str">
        <x:v>CUST0059</x:v>
      </x:c>
      <x:c r="D146" s="15" t="str">
        <x:v>REP002</x:v>
      </x:c>
      <x:c r="E146" s="15" t="str">
        <x:v>West</x:v>
      </x:c>
      <x:c r="F146" s="15" t="str">
        <x:v>Pune</x:v>
      </x:c>
      <x:c r="G146" s="15" t="str">
        <x:v>Delivered</x:v>
      </x:c>
      <x:c r="H146" s="15" t="str">
        <x:v>Direct Sales</x:v>
      </x:c>
    </x:row>
    <x:row r="147">
      <x:c r="A147" s="15" t="str">
        <x:v>ORD00146</x:v>
      </x:c>
      <x:c r="B147" s="15" t="n">
        <x:v>46120</x:v>
      </x:c>
      <x:c r="C147" s="15" t="str">
        <x:v>CUST0018</x:v>
      </x:c>
      <x:c r="D147" s="15" t="str">
        <x:v>REP015</x:v>
      </x:c>
      <x:c r="E147" s="15" t="str">
        <x:v>North</x:v>
      </x:c>
      <x:c r="F147" s="15" t="str">
        <x:v>Jaipur</x:v>
      </x:c>
      <x:c r="G147" s="15" t="str">
        <x:v>Delivered</x:v>
      </x:c>
      <x:c r="H147" s="15" t="str">
        <x:v>Online</x:v>
      </x:c>
    </x:row>
    <x:row r="148">
      <x:c r="A148" s="15" t="str">
        <x:v>ORD00147</x:v>
      </x:c>
      <x:c r="B148" s="15" t="n">
        <x:v>46103</x:v>
      </x:c>
      <x:c r="C148" s="15" t="str">
        <x:v>CUST0025</x:v>
      </x:c>
      <x:c r="D148" s="15" t="str">
        <x:v>REP011</x:v>
      </x:c>
      <x:c r="E148" s="15" t="str">
        <x:v>North</x:v>
      </x:c>
      <x:c r="F148" s="15" t="str">
        <x:v>Lucknow</x:v>
      </x:c>
      <x:c r="G148" s="15" t="str">
        <x:v>Delivered</x:v>
      </x:c>
      <x:c r="H148" s="15" t="str">
        <x:v>Distributor</x:v>
      </x:c>
    </x:row>
    <x:row r="149">
      <x:c r="A149" s="15" t="str">
        <x:v>ORD00148</x:v>
      </x:c>
      <x:c r="B149" s="15" t="n">
        <x:v>45718</x:v>
      </x:c>
      <x:c r="C149" s="15" t="str">
        <x:v>CUST0088</x:v>
      </x:c>
      <x:c r="D149" s="15" t="str">
        <x:v>REP002</x:v>
      </x:c>
      <x:c r="E149" s="15" t="str">
        <x:v>West</x:v>
      </x:c>
      <x:c r="F149" s="15" t="str">
        <x:v>Pune</x:v>
      </x:c>
      <x:c r="G149" s="15" t="str">
        <x:v>Delivered</x:v>
      </x:c>
      <x:c r="H149" s="15" t="str">
        <x:v>Online</x:v>
      </x:c>
    </x:row>
    <x:row r="150">
      <x:c r="A150" s="15" t="str">
        <x:v>ORD00149</x:v>
      </x:c>
      <x:c r="B150" s="15" t="n">
        <x:v>45772</x:v>
      </x:c>
      <x:c r="C150" s="15" t="str">
        <x:v>CUST0078</x:v>
      </x:c>
      <x:c r="D150" s="15" t="str">
        <x:v>REP015</x:v>
      </x:c>
      <x:c r="E150" s="15" t="str">
        <x:v>North</x:v>
      </x:c>
      <x:c r="F150" s="15" t="str">
        <x:v>Jaipur</x:v>
      </x:c>
      <x:c r="G150" s="15" t="str">
        <x:v>Delivered</x:v>
      </x:c>
      <x:c r="H150" s="15" t="str">
        <x:v>Distributor</x:v>
      </x:c>
    </x:row>
    <x:row r="151">
      <x:c r="A151" s="15" t="str">
        <x:v>ORD00150</x:v>
      </x:c>
      <x:c r="B151" s="15" t="n">
        <x:v>45724</x:v>
      </x:c>
      <x:c r="C151" s="15" t="str">
        <x:v>CUST0036</x:v>
      </x:c>
      <x:c r="D151" s="15" t="str">
        <x:v>REP010</x:v>
      </x:c>
      <x:c r="E151" s="15" t="str">
        <x:v>West</x:v>
      </x:c>
      <x:c r="F151" s="15" t="str">
        <x:v>Ahmedabad</x:v>
      </x:c>
      <x:c r="G151" s="15" t="str">
        <x:v>Delivered</x:v>
      </x:c>
      <x:c r="H151" s="15" t="str">
        <x:v>Online</x:v>
      </x:c>
    </x:row>
    <x:row r="152">
      <x:c r="A152" s="15" t="str">
        <x:v>ORD00151</x:v>
      </x:c>
      <x:c r="B152" s="15" t="n">
        <x:v>45744</x:v>
      </x:c>
      <x:c r="C152" s="15" t="str">
        <x:v>CUST0086</x:v>
      </x:c>
      <x:c r="D152" s="15" t="str">
        <x:v>REP016</x:v>
      </x:c>
      <x:c r="E152" s="15" t="str">
        <x:v>East</x:v>
      </x:c>
      <x:c r="F152" s="15" t="str">
        <x:v>Kolkata</x:v>
      </x:c>
      <x:c r="G152" s="15" t="str">
        <x:v>Delivered</x:v>
      </x:c>
      <x:c r="H152" s="15" t="str">
        <x:v>Direct Sales</x:v>
      </x:c>
    </x:row>
    <x:row r="153">
      <x:c r="A153" s="15" t="str">
        <x:v>ORD00152</x:v>
      </x:c>
      <x:c r="B153" s="15" t="n">
        <x:v>45888</x:v>
      </x:c>
      <x:c r="C153" s="15" t="str">
        <x:v>CUST0006</x:v>
      </x:c>
      <x:c r="D153" s="15" t="str">
        <x:v>REP005</x:v>
      </x:c>
      <x:c r="E153" s="15" t="str">
        <x:v>South</x:v>
      </x:c>
      <x:c r="F153" s="15" t="str">
        <x:v>Chennai</x:v>
      </x:c>
      <x:c r="G153" s="15" t="str">
        <x:v>Delivered</x:v>
      </x:c>
      <x:c r="H153" s="15" t="str">
        <x:v>Distributor</x:v>
      </x:c>
    </x:row>
    <x:row r="154">
      <x:c r="A154" s="15" t="str">
        <x:v>ORD00153</x:v>
      </x:c>
      <x:c r="B154" s="15" t="n">
        <x:v>45828</x:v>
      </x:c>
      <x:c r="C154" s="15" t="str">
        <x:v>CUST0017</x:v>
      </x:c>
      <x:c r="D154" s="15" t="str">
        <x:v>REP010</x:v>
      </x:c>
      <x:c r="E154" s="15" t="str">
        <x:v>West</x:v>
      </x:c>
      <x:c r="F154" s="15" t="str">
        <x:v>Pune</x:v>
      </x:c>
      <x:c r="G154" s="15" t="str">
        <x:v>Delivered</x:v>
      </x:c>
      <x:c r="H154" s="15" t="str">
        <x:v>Distributor</x:v>
      </x:c>
    </x:row>
    <x:row r="155">
      <x:c r="A155" s="15" t="str">
        <x:v>ORD00154</x:v>
      </x:c>
      <x:c r="B155" s="15" t="n">
        <x:v>45744</x:v>
      </x:c>
      <x:c r="C155" s="15" t="str">
        <x:v>CUST0054</x:v>
      </x:c>
      <x:c r="D155" s="15" t="str">
        <x:v>REP008</x:v>
      </x:c>
      <x:c r="E155" s="15" t="str">
        <x:v>East</x:v>
      </x:c>
      <x:c r="F155" s="15" t="str">
        <x:v>Guwahati</x:v>
      </x:c>
      <x:c r="G155" s="15" t="str">
        <x:v>Pending</x:v>
      </x:c>
      <x:c r="H155" s="15" t="str">
        <x:v>Distributor</x:v>
      </x:c>
    </x:row>
    <x:row r="156">
      <x:c r="A156" s="15" t="str">
        <x:v>ORD00155</x:v>
      </x:c>
      <x:c r="B156" s="15" t="n">
        <x:v>46060</x:v>
      </x:c>
      <x:c r="C156" s="15" t="str">
        <x:v>CUST0023</x:v>
      </x:c>
      <x:c r="D156" s="15" t="str">
        <x:v>REP008</x:v>
      </x:c>
      <x:c r="E156" s="15" t="str">
        <x:v>East</x:v>
      </x:c>
      <x:c r="F156" s="15" t="str">
        <x:v>Bhubaneswar</x:v>
      </x:c>
      <x:c r="G156" s="15" t="str">
        <x:v>Delivered</x:v>
      </x:c>
      <x:c r="H156" s="15" t="str">
        <x:v>Direct Sales</x:v>
      </x:c>
    </x:row>
    <x:row r="157">
      <x:c r="A157" s="15" t="str">
        <x:v>ORD00156</x:v>
      </x:c>
      <x:c r="B157" s="15" t="n">
        <x:v>46137</x:v>
      </x:c>
      <x:c r="C157" s="15" t="str">
        <x:v>CUST0069</x:v>
      </x:c>
      <x:c r="D157" s="15" t="str">
        <x:v>REP015</x:v>
      </x:c>
      <x:c r="E157" s="15" t="str">
        <x:v>North</x:v>
      </x:c>
      <x:c r="F157" s="15" t="str">
        <x:v>Delhi</x:v>
      </x:c>
      <x:c r="G157" s="15" t="str">
        <x:v>Pending</x:v>
      </x:c>
      <x:c r="H157" s="15" t="str">
        <x:v>Distributor</x:v>
      </x:c>
    </x:row>
    <x:row r="158">
      <x:c r="A158" s="15" t="str">
        <x:v>ORD00157</x:v>
      </x:c>
      <x:c r="B158" s="15" t="n">
        <x:v>46005</x:v>
      </x:c>
      <x:c r="C158" s="15" t="str">
        <x:v>CUST0023</x:v>
      </x:c>
      <x:c r="D158" s="15" t="str">
        <x:v>REP004</x:v>
      </x:c>
      <x:c r="E158" s="15" t="str">
        <x:v>East</x:v>
      </x:c>
      <x:c r="F158" s="15" t="str">
        <x:v>Bhubaneswar</x:v>
      </x:c>
      <x:c r="G158" s="15" t="str">
        <x:v>Delivered</x:v>
      </x:c>
      <x:c r="H158" s="15" t="str">
        <x:v>Distributor</x:v>
      </x:c>
    </x:row>
    <x:row r="159">
      <x:c r="A159" s="15" t="str">
        <x:v>ORD00158</x:v>
      </x:c>
      <x:c r="B159" s="15" t="n">
        <x:v>45759</x:v>
      </x:c>
      <x:c r="C159" s="15" t="str">
        <x:v>CUST0037</x:v>
      </x:c>
      <x:c r="D159" s="15" t="str">
        <x:v>REP016</x:v>
      </x:c>
      <x:c r="E159" s="15" t="str">
        <x:v>East</x:v>
      </x:c>
      <x:c r="F159" s="15" t="str">
        <x:v>Guwahati</x:v>
      </x:c>
      <x:c r="G159" s="15" t="str">
        <x:v>Delivered</x:v>
      </x:c>
      <x:c r="H159" s="15" t="str">
        <x:v>Online</x:v>
      </x:c>
    </x:row>
    <x:row r="160">
      <x:c r="A160" s="15" t="str">
        <x:v>ORD00159</x:v>
      </x:c>
      <x:c r="B160" s="15" t="n">
        <x:v>45993</x:v>
      </x:c>
      <x:c r="C160" s="15" t="str">
        <x:v>CUST0078</x:v>
      </x:c>
      <x:c r="D160" s="15" t="str">
        <x:v>REP007</x:v>
      </x:c>
      <x:c r="E160" s="15" t="str">
        <x:v>North</x:v>
      </x:c>
      <x:c r="F160" s="15" t="str">
        <x:v>Jaipur</x:v>
      </x:c>
      <x:c r="G160" s="15" t="str">
        <x:v>Delivered</x:v>
      </x:c>
      <x:c r="H160" s="15" t="str">
        <x:v>Distributor</x:v>
      </x:c>
    </x:row>
    <x:row r="161">
      <x:c r="A161" s="15" t="str">
        <x:v>ORD00160</x:v>
      </x:c>
      <x:c r="B161" s="15" t="n">
        <x:v>45784</x:v>
      </x:c>
      <x:c r="C161" s="15" t="str">
        <x:v>CUST0033</x:v>
      </x:c>
      <x:c r="D161" s="15" t="str">
        <x:v>REP004</x:v>
      </x:c>
      <x:c r="E161" s="15" t="str">
        <x:v>East</x:v>
      </x:c>
      <x:c r="F161" s="15" t="str">
        <x:v>Guwahati</x:v>
      </x:c>
      <x:c r="G161" s="15" t="str">
        <x:v>Delivered</x:v>
      </x:c>
      <x:c r="H161" s="15" t="str">
        <x:v>Online</x:v>
      </x:c>
    </x:row>
    <x:row r="162">
      <x:c r="A162" s="15" t="str">
        <x:v>ORD00161</x:v>
      </x:c>
      <x:c r="B162" s="15" t="n">
        <x:v>46179</x:v>
      </x:c>
      <x:c r="C162" s="15" t="str">
        <x:v>CUST0026</x:v>
      </x:c>
      <x:c r="D162" s="15" t="str">
        <x:v>REP013</x:v>
      </x:c>
      <x:c r="E162" s="15" t="str">
        <x:v>South</x:v>
      </x:c>
      <x:c r="F162" s="15" t="str">
        <x:v>Hyderabad</x:v>
      </x:c>
      <x:c r="G162" s="15" t="str">
        <x:v>Delivered</x:v>
      </x:c>
      <x:c r="H162" s="15" t="str">
        <x:v>Distributor</x:v>
      </x:c>
    </x:row>
    <x:row r="163">
      <x:c r="A163" s="15" t="str">
        <x:v>ORD00162</x:v>
      </x:c>
      <x:c r="B163" s="15" t="n">
        <x:v>45667</x:v>
      </x:c>
      <x:c r="C163" s="15" t="str">
        <x:v>CUST0068</x:v>
      </x:c>
      <x:c r="D163" s="15" t="str">
        <x:v>REP016</x:v>
      </x:c>
      <x:c r="E163" s="15" t="str">
        <x:v>East</x:v>
      </x:c>
      <x:c r="F163" s="15" t="str">
        <x:v>Guwahati</x:v>
      </x:c>
      <x:c r="G163" s="15" t="str">
        <x:v>Delivered</x:v>
      </x:c>
      <x:c r="H163" s="15" t="str">
        <x:v>Online</x:v>
      </x:c>
    </x:row>
    <x:row r="164">
      <x:c r="A164" s="15" t="str">
        <x:v>ORD00163</x:v>
      </x:c>
      <x:c r="B164" s="15" t="n">
        <x:v>45733</x:v>
      </x:c>
      <x:c r="C164" s="15" t="str">
        <x:v>CUST0032</x:v>
      </x:c>
      <x:c r="D164" s="15" t="str">
        <x:v>REP012</x:v>
      </x:c>
      <x:c r="E164" s="15" t="str">
        <x:v>East</x:v>
      </x:c>
      <x:c r="F164" s="15" t="str">
        <x:v>Kolkata</x:v>
      </x:c>
      <x:c r="G164" s="15" t="str">
        <x:v>Delivered</x:v>
      </x:c>
      <x:c r="H164" s="15" t="str">
        <x:v>Direct Sales</x:v>
      </x:c>
    </x:row>
    <x:row r="165">
      <x:c r="A165" s="15" t="str">
        <x:v>ORD00164</x:v>
      </x:c>
      <x:c r="B165" s="15" t="n">
        <x:v>45805</x:v>
      </x:c>
      <x:c r="C165" s="15" t="str">
        <x:v>CUST0046</x:v>
      </x:c>
      <x:c r="D165" s="15" t="str">
        <x:v>REP008</x:v>
      </x:c>
      <x:c r="E165" s="15" t="str">
        <x:v>East</x:v>
      </x:c>
      <x:c r="F165" s="15" t="str">
        <x:v>Bhubaneswar</x:v>
      </x:c>
      <x:c r="G165" s="15" t="str">
        <x:v>Delivered</x:v>
      </x:c>
      <x:c r="H165" s="15" t="str">
        <x:v>Online</x:v>
      </x:c>
    </x:row>
    <x:row r="166">
      <x:c r="A166" s="15" t="str">
        <x:v>ORD00165</x:v>
      </x:c>
      <x:c r="B166" s="15" t="n">
        <x:v>46036</x:v>
      </x:c>
      <x:c r="C166" s="15" t="str">
        <x:v>CUST0061</x:v>
      </x:c>
      <x:c r="D166" s="15" t="str">
        <x:v>REP003</x:v>
      </x:c>
      <x:c r="E166" s="15" t="str">
        <x:v>North</x:v>
      </x:c>
      <x:c r="F166" s="15" t="str">
        <x:v>Jaipur</x:v>
      </x:c>
      <x:c r="G166" s="15" t="str">
        <x:v>Delivered</x:v>
      </x:c>
      <x:c r="H166" s="15" t="str">
        <x:v>Distributor</x:v>
      </x:c>
    </x:row>
    <x:row r="167">
      <x:c r="A167" s="15" t="str">
        <x:v>ORD00166</x:v>
      </x:c>
      <x:c r="B167" s="15" t="n">
        <x:v>46169</x:v>
      </x:c>
      <x:c r="C167" s="15" t="str">
        <x:v>CUST0059</x:v>
      </x:c>
      <x:c r="D167" s="15" t="str">
        <x:v>REP014</x:v>
      </x:c>
      <x:c r="E167" s="15" t="str">
        <x:v>West</x:v>
      </x:c>
      <x:c r="F167" s="15" t="str">
        <x:v>Pune</x:v>
      </x:c>
      <x:c r="G167" s="15" t="str">
        <x:v>Delivered</x:v>
      </x:c>
      <x:c r="H167" s="15" t="str">
        <x:v>Direct Sales</x:v>
      </x:c>
    </x:row>
    <x:row r="168">
      <x:c r="A168" s="15" t="str">
        <x:v>ORD00167</x:v>
      </x:c>
      <x:c r="B168" s="15" t="n">
        <x:v>45857</x:v>
      </x:c>
      <x:c r="C168" s="15" t="str">
        <x:v>CUST0032</x:v>
      </x:c>
      <x:c r="D168" s="15" t="str">
        <x:v>REP008</x:v>
      </x:c>
      <x:c r="E168" s="15" t="str">
        <x:v>East</x:v>
      </x:c>
      <x:c r="F168" s="15" t="str">
        <x:v>Kolkata</x:v>
      </x:c>
      <x:c r="G168" s="15" t="str">
        <x:v>Delivered</x:v>
      </x:c>
      <x:c r="H168" s="15" t="str">
        <x:v>Online</x:v>
      </x:c>
    </x:row>
    <x:row r="169">
      <x:c r="A169" s="15" t="str">
        <x:v>ORD00168</x:v>
      </x:c>
      <x:c r="B169" s="15" t="n">
        <x:v>46157</x:v>
      </x:c>
      <x:c r="C169" s="15" t="str">
        <x:v>CUST0023</x:v>
      </x:c>
      <x:c r="D169" s="15" t="str">
        <x:v>REP004</x:v>
      </x:c>
      <x:c r="E169" s="15" t="str">
        <x:v>East</x:v>
      </x:c>
      <x:c r="F169" s="15" t="str">
        <x:v>Bhubaneswar</x:v>
      </x:c>
      <x:c r="G169" s="15" t="str">
        <x:v>Delivered</x:v>
      </x:c>
      <x:c r="H169" s="15" t="str">
        <x:v>Distributor</x:v>
      </x:c>
    </x:row>
    <x:row r="170">
      <x:c r="A170" s="15" t="str">
        <x:v>ORD00169</x:v>
      </x:c>
      <x:c r="B170" s="15" t="n">
        <x:v>45772</x:v>
      </x:c>
      <x:c r="C170" s="15" t="str">
        <x:v>CUST0083</x:v>
      </x:c>
      <x:c r="D170" s="15" t="str">
        <x:v>REP007</x:v>
      </x:c>
      <x:c r="E170" s="15" t="str">
        <x:v>North</x:v>
      </x:c>
      <x:c r="F170" s="15" t="str">
        <x:v>Jaipur</x:v>
      </x:c>
      <x:c r="G170" s="15" t="str">
        <x:v>Delivered</x:v>
      </x:c>
      <x:c r="H170" s="15" t="str">
        <x:v>Online</x:v>
      </x:c>
    </x:row>
    <x:row r="171">
      <x:c r="A171" s="15" t="str">
        <x:v>ORD00170</x:v>
      </x:c>
      <x:c r="B171" s="15" t="n">
        <x:v>46186</x:v>
      </x:c>
      <x:c r="C171" s="15" t="str">
        <x:v>CUST0065</x:v>
      </x:c>
      <x:c r="D171" s="15" t="str">
        <x:v>REP007</x:v>
      </x:c>
      <x:c r="E171" s="15" t="str">
        <x:v>North</x:v>
      </x:c>
      <x:c r="F171" s="15" t="str">
        <x:v>Jaipur</x:v>
      </x:c>
      <x:c r="G171" s="15" t="str">
        <x:v>Pending</x:v>
      </x:c>
      <x:c r="H171" s="15" t="str">
        <x:v>Distributor</x:v>
      </x:c>
    </x:row>
    <x:row r="172">
      <x:c r="A172" s="15" t="str">
        <x:v>ORD00171</x:v>
      </x:c>
      <x:c r="B172" s="15" t="n">
        <x:v>45937</x:v>
      </x:c>
      <x:c r="C172" s="15" t="str">
        <x:v>CUST0096</x:v>
      </x:c>
      <x:c r="D172" s="15" t="str">
        <x:v>REP015</x:v>
      </x:c>
      <x:c r="E172" s="15" t="str">
        <x:v>North</x:v>
      </x:c>
      <x:c r="F172" s="15" t="str">
        <x:v>Lucknow</x:v>
      </x:c>
      <x:c r="G172" s="15" t="str">
        <x:v>Delivered</x:v>
      </x:c>
      <x:c r="H172" s="15" t="str">
        <x:v>Online</x:v>
      </x:c>
    </x:row>
    <x:row r="173">
      <x:c r="A173" s="15" t="str">
        <x:v>ORD00172</x:v>
      </x:c>
      <x:c r="B173" s="15" t="n">
        <x:v>46128</x:v>
      </x:c>
      <x:c r="C173" s="15" t="str">
        <x:v>CUST0053</x:v>
      </x:c>
      <x:c r="D173" s="15" t="str">
        <x:v>REP002</x:v>
      </x:c>
      <x:c r="E173" s="15" t="str">
        <x:v>West</x:v>
      </x:c>
      <x:c r="F173" s="15" t="str">
        <x:v>Mumbai</x:v>
      </x:c>
      <x:c r="G173" s="15" t="str">
        <x:v>Delivered</x:v>
      </x:c>
      <x:c r="H173" s="15" t="str">
        <x:v>Direct Sales</x:v>
      </x:c>
    </x:row>
    <x:row r="174">
      <x:c r="A174" s="15" t="str">
        <x:v>ORD00173</x:v>
      </x:c>
      <x:c r="B174" s="15" t="n">
        <x:v>46035</x:v>
      </x:c>
      <x:c r="C174" s="15" t="str">
        <x:v>CUST0094</x:v>
      </x:c>
      <x:c r="D174" s="15" t="str">
        <x:v>REP012</x:v>
      </x:c>
      <x:c r="E174" s="15" t="str">
        <x:v>East</x:v>
      </x:c>
      <x:c r="F174" s="15" t="str">
        <x:v>Bhubaneswar</x:v>
      </x:c>
      <x:c r="G174" s="15" t="str">
        <x:v>Delivered</x:v>
      </x:c>
      <x:c r="H174" s="15" t="str">
        <x:v>Direct Sales</x:v>
      </x:c>
    </x:row>
    <x:row r="175">
      <x:c r="A175" s="15" t="str">
        <x:v>ORD00174</x:v>
      </x:c>
      <x:c r="B175" s="15" t="n">
        <x:v>46087</x:v>
      </x:c>
      <x:c r="C175" s="15" t="str">
        <x:v>CUST0089</x:v>
      </x:c>
      <x:c r="D175" s="15" t="str">
        <x:v>REP009</x:v>
      </x:c>
      <x:c r="E175" s="15" t="str">
        <x:v>South</x:v>
      </x:c>
      <x:c r="F175" s="15" t="str">
        <x:v>Bengaluru</x:v>
      </x:c>
      <x:c r="G175" s="15" t="str">
        <x:v>Delivered</x:v>
      </x:c>
      <x:c r="H175" s="15" t="str">
        <x:v>Online</x:v>
      </x:c>
    </x:row>
    <x:row r="176">
      <x:c r="A176" s="15" t="str">
        <x:v>ORD00175</x:v>
      </x:c>
      <x:c r="B176" s="15" t="n">
        <x:v>45735</x:v>
      </x:c>
      <x:c r="C176" s="15" t="str">
        <x:v>CUST0013</x:v>
      </x:c>
      <x:c r="D176" s="15" t="str">
        <x:v>REP002</x:v>
      </x:c>
      <x:c r="E176" s="15" t="str">
        <x:v>West</x:v>
      </x:c>
      <x:c r="F176" s="15" t="str">
        <x:v>Ahmedabad</x:v>
      </x:c>
      <x:c r="G176" s="15" t="str">
        <x:v>Delivered</x:v>
      </x:c>
      <x:c r="H176" s="15" t="str">
        <x:v>Direct Sales</x:v>
      </x:c>
    </x:row>
    <x:row r="177">
      <x:c r="A177" s="15" t="str">
        <x:v>ORD00176</x:v>
      </x:c>
      <x:c r="B177" s="15" t="n">
        <x:v>46042</x:v>
      </x:c>
      <x:c r="C177" s="15" t="str">
        <x:v>CUST0085</x:v>
      </x:c>
      <x:c r="D177" s="15" t="str">
        <x:v>REP014</x:v>
      </x:c>
      <x:c r="E177" s="15" t="str">
        <x:v>West</x:v>
      </x:c>
      <x:c r="F177" s="15" t="str">
        <x:v>Pune</x:v>
      </x:c>
      <x:c r="G177" s="15" t="str">
        <x:v>Delivered</x:v>
      </x:c>
      <x:c r="H177" s="15" t="str">
        <x:v>Direct Sales</x:v>
      </x:c>
    </x:row>
    <x:row r="178">
      <x:c r="A178" s="15" t="str">
        <x:v>ORD00177</x:v>
      </x:c>
      <x:c r="B178" s="15" t="n">
        <x:v>45998</x:v>
      </x:c>
      <x:c r="C178" s="15" t="str">
        <x:v>CUST0086</x:v>
      </x:c>
      <x:c r="D178" s="15" t="str">
        <x:v>REP008</x:v>
      </x:c>
      <x:c r="E178" s="15" t="str">
        <x:v>East</x:v>
      </x:c>
      <x:c r="F178" s="15" t="str">
        <x:v>Kolkata</x:v>
      </x:c>
      <x:c r="G178" s="15" t="str">
        <x:v>Delivered</x:v>
      </x:c>
      <x:c r="H178" s="15" t="str">
        <x:v>Online</x:v>
      </x:c>
    </x:row>
    <x:row r="179">
      <x:c r="A179" s="15" t="str">
        <x:v>ORD00178</x:v>
      </x:c>
      <x:c r="B179" s="15" t="n">
        <x:v>45704</x:v>
      </x:c>
      <x:c r="C179" s="15" t="str">
        <x:v>CUST0039</x:v>
      </x:c>
      <x:c r="D179" s="15" t="str">
        <x:v>REP014</x:v>
      </x:c>
      <x:c r="E179" s="15" t="str">
        <x:v>West</x:v>
      </x:c>
      <x:c r="F179" s="15" t="str">
        <x:v>Pune</x:v>
      </x:c>
      <x:c r="G179" s="15" t="str">
        <x:v>Delivered</x:v>
      </x:c>
      <x:c r="H179" s="15" t="str">
        <x:v>Direct Sales</x:v>
      </x:c>
    </x:row>
    <x:row r="180">
      <x:c r="A180" s="15" t="str">
        <x:v>ORD00179</x:v>
      </x:c>
      <x:c r="B180" s="15" t="n">
        <x:v>45679</x:v>
      </x:c>
      <x:c r="C180" s="15" t="str">
        <x:v>CUST0091</x:v>
      </x:c>
      <x:c r="D180" s="15" t="str">
        <x:v>REP003</x:v>
      </x:c>
      <x:c r="E180" s="15" t="str">
        <x:v>North</x:v>
      </x:c>
      <x:c r="F180" s="15" t="str">
        <x:v>Delhi</x:v>
      </x:c>
      <x:c r="G180" s="15" t="str">
        <x:v>Delivered</x:v>
      </x:c>
      <x:c r="H180" s="15" t="str">
        <x:v>Distributor</x:v>
      </x:c>
    </x:row>
    <x:row r="181">
      <x:c r="A181" s="15" t="str">
        <x:v>ORD00180</x:v>
      </x:c>
      <x:c r="B181" s="15" t="n">
        <x:v>45824</x:v>
      </x:c>
      <x:c r="C181" s="15" t="str">
        <x:v>CUST0058</x:v>
      </x:c>
      <x:c r="D181" s="15" t="str">
        <x:v>REP005</x:v>
      </x:c>
      <x:c r="E181" s="15" t="str">
        <x:v>South</x:v>
      </x:c>
      <x:c r="F181" s="15" t="str">
        <x:v>Chennai</x:v>
      </x:c>
      <x:c r="G181" s="15" t="str">
        <x:v>Cancelled</x:v>
      </x:c>
      <x:c r="H181" s="15" t="str">
        <x:v>Distributor</x:v>
      </x:c>
    </x:row>
    <x:row r="182">
      <x:c r="A182" s="15" t="str">
        <x:v>ORD00181</x:v>
      </x:c>
      <x:c r="B182" s="15" t="n">
        <x:v>45689</x:v>
      </x:c>
      <x:c r="C182" s="15" t="str">
        <x:v>CUST0072</x:v>
      </x:c>
      <x:c r="D182" s="15" t="str">
        <x:v>REP009</x:v>
      </x:c>
      <x:c r="E182" s="15" t="str">
        <x:v>South</x:v>
      </x:c>
      <x:c r="F182" s="15" t="str">
        <x:v>Bengaluru</x:v>
      </x:c>
      <x:c r="G182" s="15" t="str">
        <x:v>Cancelled</x:v>
      </x:c>
      <x:c r="H182" s="15" t="str">
        <x:v>Direct Sales</x:v>
      </x:c>
    </x:row>
    <x:row r="183">
      <x:c r="A183" s="15" t="str">
        <x:v>ORD00182</x:v>
      </x:c>
      <x:c r="B183" s="15" t="n">
        <x:v>46188</x:v>
      </x:c>
      <x:c r="C183" s="15" t="str">
        <x:v>CUST0050</x:v>
      </x:c>
      <x:c r="D183" s="15" t="str">
        <x:v>REP004</x:v>
      </x:c>
      <x:c r="E183" s="15" t="str">
        <x:v>East</x:v>
      </x:c>
      <x:c r="F183" s="15" t="str">
        <x:v>Kolkata</x:v>
      </x:c>
      <x:c r="G183" s="15" t="str">
        <x:v>Delivered</x:v>
      </x:c>
      <x:c r="H183" s="15" t="str">
        <x:v>Distributor</x:v>
      </x:c>
    </x:row>
    <x:row r="184">
      <x:c r="A184" s="15" t="str">
        <x:v>ORD00183</x:v>
      </x:c>
      <x:c r="B184" s="15" t="n">
        <x:v>46085</x:v>
      </x:c>
      <x:c r="C184" s="15" t="str">
        <x:v>CUST0011</x:v>
      </x:c>
      <x:c r="D184" s="15" t="str">
        <x:v>REP013</x:v>
      </x:c>
      <x:c r="E184" s="15" t="str">
        <x:v>South</x:v>
      </x:c>
      <x:c r="F184" s="15" t="str">
        <x:v>Chennai</x:v>
      </x:c>
      <x:c r="G184" s="15" t="str">
        <x:v>Cancelled</x:v>
      </x:c>
      <x:c r="H184" s="15" t="str">
        <x:v>Distributor</x:v>
      </x:c>
    </x:row>
    <x:row r="185">
      <x:c r="A185" s="15" t="str">
        <x:v>ORD00184</x:v>
      </x:c>
      <x:c r="B185" s="15" t="n">
        <x:v>45882</x:v>
      </x:c>
      <x:c r="C185" s="15" t="str">
        <x:v>CUST0062</x:v>
      </x:c>
      <x:c r="D185" s="15" t="str">
        <x:v>REP013</x:v>
      </x:c>
      <x:c r="E185" s="15" t="str">
        <x:v>South</x:v>
      </x:c>
      <x:c r="F185" s="15" t="str">
        <x:v>Chennai</x:v>
      </x:c>
      <x:c r="G185" s="15" t="str">
        <x:v>Delivered</x:v>
      </x:c>
      <x:c r="H185" s="15" t="str">
        <x:v>Direct Sales</x:v>
      </x:c>
    </x:row>
    <x:row r="186">
      <x:c r="A186" s="15" t="str">
        <x:v>ORD00185</x:v>
      </x:c>
      <x:c r="B186" s="15" t="n">
        <x:v>46161</x:v>
      </x:c>
      <x:c r="C186" s="15" t="str">
        <x:v>CUST0062</x:v>
      </x:c>
      <x:c r="D186" s="15" t="str">
        <x:v>REP013</x:v>
      </x:c>
      <x:c r="E186" s="15" t="str">
        <x:v>South</x:v>
      </x:c>
      <x:c r="F186" s="15" t="str">
        <x:v>Chennai</x:v>
      </x:c>
      <x:c r="G186" s="15" t="str">
        <x:v>Delivered</x:v>
      </x:c>
      <x:c r="H186" s="15" t="str">
        <x:v>Direct Sales</x:v>
      </x:c>
    </x:row>
    <x:row r="187">
      <x:c r="A187" s="15" t="str">
        <x:v>ORD00186</x:v>
      </x:c>
      <x:c r="B187" s="15" t="n">
        <x:v>45917</x:v>
      </x:c>
      <x:c r="C187" s="15" t="str">
        <x:v>CUST0039</x:v>
      </x:c>
      <x:c r="D187" s="15" t="str">
        <x:v>REP006</x:v>
      </x:c>
      <x:c r="E187" s="15" t="str">
        <x:v>West</x:v>
      </x:c>
      <x:c r="F187" s="15" t="str">
        <x:v>Pune</x:v>
      </x:c>
      <x:c r="G187" s="15" t="str">
        <x:v>Delivered</x:v>
      </x:c>
      <x:c r="H187" s="15" t="str">
        <x:v>Distributor</x:v>
      </x:c>
    </x:row>
    <x:row r="188">
      <x:c r="A188" s="15" t="str">
        <x:v>ORD00187</x:v>
      </x:c>
      <x:c r="B188" s="15" t="n">
        <x:v>45765</x:v>
      </x:c>
      <x:c r="C188" s="15" t="str">
        <x:v>CUST0066</x:v>
      </x:c>
      <x:c r="D188" s="15" t="str">
        <x:v>REP010</x:v>
      </x:c>
      <x:c r="E188" s="15" t="str">
        <x:v>West</x:v>
      </x:c>
      <x:c r="F188" s="15" t="str">
        <x:v>Mumbai</x:v>
      </x:c>
      <x:c r="G188" s="15" t="str">
        <x:v>Delivered</x:v>
      </x:c>
      <x:c r="H188" s="15" t="str">
        <x:v>Online</x:v>
      </x:c>
    </x:row>
    <x:row r="189">
      <x:c r="A189" s="15" t="str">
        <x:v>ORD00188</x:v>
      </x:c>
      <x:c r="B189" s="15" t="n">
        <x:v>46025</x:v>
      </x:c>
      <x:c r="C189" s="15" t="str">
        <x:v>CUST0090</x:v>
      </x:c>
      <x:c r="D189" s="15" t="str">
        <x:v>REP011</x:v>
      </x:c>
      <x:c r="E189" s="15" t="str">
        <x:v>North</x:v>
      </x:c>
      <x:c r="F189" s="15" t="str">
        <x:v>Delhi</x:v>
      </x:c>
      <x:c r="G189" s="15" t="str">
        <x:v>Delivered</x:v>
      </x:c>
      <x:c r="H189" s="15" t="str">
        <x:v>Direct Sales</x:v>
      </x:c>
    </x:row>
    <x:row r="190">
      <x:c r="A190" s="15" t="str">
        <x:v>ORD00189</x:v>
      </x:c>
      <x:c r="B190" s="15" t="n">
        <x:v>45964</x:v>
      </x:c>
      <x:c r="C190" s="15" t="str">
        <x:v>CUST0035</x:v>
      </x:c>
      <x:c r="D190" s="15" t="str">
        <x:v>REP006</x:v>
      </x:c>
      <x:c r="E190" s="15" t="str">
        <x:v>West</x:v>
      </x:c>
      <x:c r="F190" s="15" t="str">
        <x:v>Pune</x:v>
      </x:c>
      <x:c r="G190" s="15" t="str">
        <x:v>Delivered</x:v>
      </x:c>
      <x:c r="H190" s="15" t="str">
        <x:v>Online</x:v>
      </x:c>
    </x:row>
    <x:row r="191">
      <x:c r="A191" s="15" t="str">
        <x:v>ORD00190</x:v>
      </x:c>
      <x:c r="B191" s="15" t="n">
        <x:v>45895</x:v>
      </x:c>
      <x:c r="C191" s="15" t="str">
        <x:v>CUST0013</x:v>
      </x:c>
      <x:c r="D191" s="15" t="str">
        <x:v>REP002</x:v>
      </x:c>
      <x:c r="E191" s="15" t="str">
        <x:v>West</x:v>
      </x:c>
      <x:c r="F191" s="15" t="str">
        <x:v>Ahmedabad</x:v>
      </x:c>
      <x:c r="G191" s="15" t="str">
        <x:v>Delivered</x:v>
      </x:c>
      <x:c r="H191" s="15" t="str">
        <x:v>Direct Sales</x:v>
      </x:c>
    </x:row>
    <x:row r="192">
      <x:c r="A192" s="15" t="str">
        <x:v>ORD00191</x:v>
      </x:c>
      <x:c r="B192" s="15" t="n">
        <x:v>46167</x:v>
      </x:c>
      <x:c r="C192" s="15" t="str">
        <x:v>CUST0003</x:v>
      </x:c>
      <x:c r="D192" s="15" t="str">
        <x:v>REP006</x:v>
      </x:c>
      <x:c r="E192" s="15" t="str">
        <x:v>West</x:v>
      </x:c>
      <x:c r="F192" s="15" t="str">
        <x:v>Ahmedabad</x:v>
      </x:c>
      <x:c r="G192" s="15" t="str">
        <x:v>Delivered</x:v>
      </x:c>
      <x:c r="H192" s="15" t="str">
        <x:v>Distributor</x:v>
      </x:c>
    </x:row>
    <x:row r="193">
      <x:c r="A193" s="15" t="str">
        <x:v>ORD00192</x:v>
      </x:c>
      <x:c r="B193" s="15" t="n">
        <x:v>46196</x:v>
      </x:c>
      <x:c r="C193" s="15" t="str">
        <x:v>CUST0099</x:v>
      </x:c>
      <x:c r="D193" s="15" t="str">
        <x:v>REP015</x:v>
      </x:c>
      <x:c r="E193" s="15" t="str">
        <x:v>North</x:v>
      </x:c>
      <x:c r="F193" s="15" t="str">
        <x:v>Lucknow</x:v>
      </x:c>
      <x:c r="G193" s="15" t="str">
        <x:v>Delivered</x:v>
      </x:c>
      <x:c r="H193" s="15" t="str">
        <x:v>Online</x:v>
      </x:c>
    </x:row>
    <x:row r="194">
      <x:c r="A194" s="15" t="str">
        <x:v>ORD00193</x:v>
      </x:c>
      <x:c r="B194" s="15" t="n">
        <x:v>45997</x:v>
      </x:c>
      <x:c r="C194" s="15" t="str">
        <x:v>CUST0091</x:v>
      </x:c>
      <x:c r="D194" s="15" t="str">
        <x:v>REP011</x:v>
      </x:c>
      <x:c r="E194" s="15" t="str">
        <x:v>North</x:v>
      </x:c>
      <x:c r="F194" s="15" t="str">
        <x:v>Delhi</x:v>
      </x:c>
      <x:c r="G194" s="15" t="str">
        <x:v>Cancelled</x:v>
      </x:c>
      <x:c r="H194" s="15" t="str">
        <x:v>Direct Sales</x:v>
      </x:c>
    </x:row>
    <x:row r="195">
      <x:c r="A195" s="15" t="str">
        <x:v>ORD00194</x:v>
      </x:c>
      <x:c r="B195" s="15" t="n">
        <x:v>46119</x:v>
      </x:c>
      <x:c r="C195" s="15" t="str">
        <x:v>CUST0052</x:v>
      </x:c>
      <x:c r="D195" s="15" t="str">
        <x:v>REP002</x:v>
      </x:c>
      <x:c r="E195" s="15" t="str">
        <x:v>West</x:v>
      </x:c>
      <x:c r="F195" s="15" t="str">
        <x:v>Mumbai</x:v>
      </x:c>
      <x:c r="G195" s="15" t="str">
        <x:v>Delivered</x:v>
      </x:c>
      <x:c r="H195" s="15" t="str">
        <x:v>Distributor</x:v>
      </x:c>
    </x:row>
    <x:row r="196">
      <x:c r="A196" s="15" t="str">
        <x:v>ORD00195</x:v>
      </x:c>
      <x:c r="B196" s="15" t="n">
        <x:v>45678</x:v>
      </x:c>
      <x:c r="C196" s="15" t="str">
        <x:v>CUST0007</x:v>
      </x:c>
      <x:c r="D196" s="15" t="str">
        <x:v>REP008</x:v>
      </x:c>
      <x:c r="E196" s="15" t="str">
        <x:v>East</x:v>
      </x:c>
      <x:c r="F196" s="15" t="str">
        <x:v>Guwahati</x:v>
      </x:c>
      <x:c r="G196" s="15" t="str">
        <x:v>Delivered</x:v>
      </x:c>
      <x:c r="H196" s="15" t="str">
        <x:v>Online</x:v>
      </x:c>
    </x:row>
    <x:row r="197">
      <x:c r="A197" s="15" t="str">
        <x:v>ORD00196</x:v>
      </x:c>
      <x:c r="B197" s="15" t="n">
        <x:v>46046</x:v>
      </x:c>
      <x:c r="C197" s="15" t="str">
        <x:v>CUST0077</x:v>
      </x:c>
      <x:c r="D197" s="15" t="str">
        <x:v>REP002</x:v>
      </x:c>
      <x:c r="E197" s="15" t="str">
        <x:v>West</x:v>
      </x:c>
      <x:c r="F197" s="15" t="str">
        <x:v>Pune</x:v>
      </x:c>
      <x:c r="G197" s="15" t="str">
        <x:v>Cancelled</x:v>
      </x:c>
      <x:c r="H197" s="15" t="str">
        <x:v>Distributor</x:v>
      </x:c>
    </x:row>
    <x:row r="198">
      <x:c r="A198" s="15" t="str">
        <x:v>ORD00197</x:v>
      </x:c>
      <x:c r="B198" s="15" t="n">
        <x:v>46155</x:v>
      </x:c>
      <x:c r="C198" s="15" t="str">
        <x:v>CUST0095</x:v>
      </x:c>
      <x:c r="D198" s="15" t="str">
        <x:v>REP014</x:v>
      </x:c>
      <x:c r="E198" s="15" t="str">
        <x:v>West</x:v>
      </x:c>
      <x:c r="F198" s="15" t="str">
        <x:v>Ahmedabad</x:v>
      </x:c>
      <x:c r="G198" s="15" t="str">
        <x:v>Delivered</x:v>
      </x:c>
      <x:c r="H198" s="15" t="str">
        <x:v>Direct Sales</x:v>
      </x:c>
    </x:row>
    <x:row r="199">
      <x:c r="A199" s="15" t="str">
        <x:v>ORD00198</x:v>
      </x:c>
      <x:c r="B199" s="15" t="n">
        <x:v>45976</x:v>
      </x:c>
      <x:c r="C199" s="15" t="str">
        <x:v>CUST0035</x:v>
      </x:c>
      <x:c r="D199" s="15" t="str">
        <x:v>REP010</x:v>
      </x:c>
      <x:c r="E199" s="15" t="str">
        <x:v>West</x:v>
      </x:c>
      <x:c r="F199" s="15" t="str">
        <x:v>Pune</x:v>
      </x:c>
      <x:c r="G199" s="15" t="str">
        <x:v>Delivered</x:v>
      </x:c>
      <x:c r="H199" s="15" t="str">
        <x:v>Direct Sales</x:v>
      </x:c>
    </x:row>
    <x:row r="200">
      <x:c r="A200" s="15" t="str">
        <x:v>ORD00199</x:v>
      </x:c>
      <x:c r="B200" s="15" t="n">
        <x:v>46094</x:v>
      </x:c>
      <x:c r="C200" s="15" t="str">
        <x:v>CUST0057</x:v>
      </x:c>
      <x:c r="D200" s="15" t="str">
        <x:v>REP003</x:v>
      </x:c>
      <x:c r="E200" s="15" t="str">
        <x:v>North</x:v>
      </x:c>
      <x:c r="F200" s="15" t="str">
        <x:v>Jaipur</x:v>
      </x:c>
      <x:c r="G200" s="15" t="str">
        <x:v>Cancelled</x:v>
      </x:c>
      <x:c r="H200" s="15" t="str">
        <x:v>Direct Sales</x:v>
      </x:c>
    </x:row>
    <x:row r="201">
      <x:c r="A201" s="15" t="str">
        <x:v>ORD00200</x:v>
      </x:c>
      <x:c r="B201" s="15" t="n">
        <x:v>45770</x:v>
      </x:c>
      <x:c r="C201" s="15" t="str">
        <x:v>CUST0028</x:v>
      </x:c>
      <x:c r="D201" s="15" t="str">
        <x:v>REP003</x:v>
      </x:c>
      <x:c r="E201" s="15" t="str">
        <x:v>North</x:v>
      </x:c>
      <x:c r="F201" s="15" t="str">
        <x:v>Delhi</x:v>
      </x:c>
      <x:c r="G201" s="15" t="str">
        <x:v>Delivered</x:v>
      </x:c>
      <x:c r="H201" s="15" t="str">
        <x:v>Online</x:v>
      </x:c>
    </x:row>
    <x:row r="202">
      <x:c r="A202" s="15" t="str">
        <x:v>ORD00201</x:v>
      </x:c>
      <x:c r="B202" s="15" t="n">
        <x:v>45862</x:v>
      </x:c>
      <x:c r="C202" s="15" t="str">
        <x:v>CUST0042</x:v>
      </x:c>
      <x:c r="D202" s="15" t="str">
        <x:v>REP015</x:v>
      </x:c>
      <x:c r="E202" s="15" t="str">
        <x:v>North</x:v>
      </x:c>
      <x:c r="F202" s="15" t="str">
        <x:v>Jaipur</x:v>
      </x:c>
      <x:c r="G202" s="15" t="str">
        <x:v>Delivered</x:v>
      </x:c>
      <x:c r="H202" s="15" t="str">
        <x:v>Direct Sales</x:v>
      </x:c>
    </x:row>
    <x:row r="203">
      <x:c r="A203" s="15" t="str">
        <x:v>ORD00202</x:v>
      </x:c>
      <x:c r="B203" s="15" t="n">
        <x:v>45760</x:v>
      </x:c>
      <x:c r="C203" s="15" t="str">
        <x:v>CUST0041</x:v>
      </x:c>
      <x:c r="D203" s="15" t="str">
        <x:v>REP012</x:v>
      </x:c>
      <x:c r="E203" s="15" t="str">
        <x:v>East</x:v>
      </x:c>
      <x:c r="F203" s="15" t="str">
        <x:v>Guwahati</x:v>
      </x:c>
      <x:c r="G203" s="15" t="str">
        <x:v>Delivered</x:v>
      </x:c>
      <x:c r="H203" s="15" t="str">
        <x:v>Online</x:v>
      </x:c>
    </x:row>
    <x:row r="204">
      <x:c r="A204" s="15" t="str">
        <x:v>ORD00203</x:v>
      </x:c>
      <x:c r="B204" s="15" t="n">
        <x:v>45826</x:v>
      </x:c>
      <x:c r="C204" s="15" t="str">
        <x:v>CUST0051</x:v>
      </x:c>
      <x:c r="D204" s="15" t="str">
        <x:v>REP004</x:v>
      </x:c>
      <x:c r="E204" s="15" t="str">
        <x:v>East</x:v>
      </x:c>
      <x:c r="F204" s="15" t="str">
        <x:v>Kolkata</x:v>
      </x:c>
      <x:c r="G204" s="15" t="str">
        <x:v>Delivered</x:v>
      </x:c>
      <x:c r="H204" s="15" t="str">
        <x:v>Distributor</x:v>
      </x:c>
    </x:row>
    <x:row r="205">
      <x:c r="A205" s="15" t="str">
        <x:v>ORD00204</x:v>
      </x:c>
      <x:c r="B205" s="15" t="n">
        <x:v>45723</x:v>
      </x:c>
      <x:c r="C205" s="15" t="str">
        <x:v>CUST0062</x:v>
      </x:c>
      <x:c r="D205" s="15" t="str">
        <x:v>REP001</x:v>
      </x:c>
      <x:c r="E205" s="15" t="str">
        <x:v>South</x:v>
      </x:c>
      <x:c r="F205" s="15" t="str">
        <x:v>Chennai</x:v>
      </x:c>
      <x:c r="G205" s="15" t="str">
        <x:v>Pending</x:v>
      </x:c>
      <x:c r="H205" s="15" t="str">
        <x:v>Distributor</x:v>
      </x:c>
    </x:row>
    <x:row r="206">
      <x:c r="A206" s="15" t="str">
        <x:v>ORD00205</x:v>
      </x:c>
      <x:c r="B206" s="15" t="n">
        <x:v>46026</x:v>
      </x:c>
      <x:c r="C206" s="15" t="str">
        <x:v>CUST0047</x:v>
      </x:c>
      <x:c r="D206" s="15" t="str">
        <x:v>REP016</x:v>
      </x:c>
      <x:c r="E206" s="15" t="str">
        <x:v>East</x:v>
      </x:c>
      <x:c r="F206" s="15" t="str">
        <x:v>Bhubaneswar</x:v>
      </x:c>
      <x:c r="G206" s="15" t="str">
        <x:v>Delivered</x:v>
      </x:c>
      <x:c r="H206" s="15" t="str">
        <x:v>Distributor</x:v>
      </x:c>
    </x:row>
    <x:row r="207">
      <x:c r="A207" s="15" t="str">
        <x:v>ORD00206</x:v>
      </x:c>
      <x:c r="B207" s="15" t="n">
        <x:v>45879</x:v>
      </x:c>
      <x:c r="C207" s="15" t="str">
        <x:v>CUST0099</x:v>
      </x:c>
      <x:c r="D207" s="15" t="str">
        <x:v>REP003</x:v>
      </x:c>
      <x:c r="E207" s="15" t="str">
        <x:v>North</x:v>
      </x:c>
      <x:c r="F207" s="15" t="str">
        <x:v>Lucknow</x:v>
      </x:c>
      <x:c r="G207" s="15" t="str">
        <x:v>Delivered</x:v>
      </x:c>
      <x:c r="H207" s="15" t="str">
        <x:v>Distributor</x:v>
      </x:c>
    </x:row>
    <x:row r="208">
      <x:c r="A208" s="15" t="str">
        <x:v>ORD00207</x:v>
      </x:c>
      <x:c r="B208" s="15" t="n">
        <x:v>45988</x:v>
      </x:c>
      <x:c r="C208" s="15" t="str">
        <x:v>CUST0041</x:v>
      </x:c>
      <x:c r="D208" s="15" t="str">
        <x:v>REP012</x:v>
      </x:c>
      <x:c r="E208" s="15" t="str">
        <x:v>East</x:v>
      </x:c>
      <x:c r="F208" s="15" t="str">
        <x:v>Guwahati</x:v>
      </x:c>
      <x:c r="G208" s="15" t="str">
        <x:v>Cancelled</x:v>
      </x:c>
      <x:c r="H208" s="15" t="str">
        <x:v>Distributor</x:v>
      </x:c>
    </x:row>
    <x:row r="209">
      <x:c r="A209" s="15" t="str">
        <x:v>ORD00208</x:v>
      </x:c>
      <x:c r="B209" s="15" t="n">
        <x:v>45694</x:v>
      </x:c>
      <x:c r="C209" s="15" t="str">
        <x:v>CUST0063</x:v>
      </x:c>
      <x:c r="D209" s="15" t="str">
        <x:v>REP011</x:v>
      </x:c>
      <x:c r="E209" s="15" t="str">
        <x:v>North</x:v>
      </x:c>
      <x:c r="F209" s="15" t="str">
        <x:v>Delhi</x:v>
      </x:c>
      <x:c r="G209" s="15" t="str">
        <x:v>Delivered</x:v>
      </x:c>
      <x:c r="H209" s="15" t="str">
        <x:v>Online</x:v>
      </x:c>
    </x:row>
    <x:row r="210">
      <x:c r="A210" s="15" t="str">
        <x:v>ORD00209</x:v>
      </x:c>
      <x:c r="B210" s="15" t="n">
        <x:v>45798</x:v>
      </x:c>
      <x:c r="C210" s="15" t="str">
        <x:v>CUST0034</x:v>
      </x:c>
      <x:c r="D210" s="15" t="str">
        <x:v>REP004</x:v>
      </x:c>
      <x:c r="E210" s="15" t="str">
        <x:v>East</x:v>
      </x:c>
      <x:c r="F210" s="15" t="str">
        <x:v>Bhubaneswar</x:v>
      </x:c>
      <x:c r="G210" s="15" t="str">
        <x:v>Delivered</x:v>
      </x:c>
      <x:c r="H210" s="15" t="str">
        <x:v>Online</x:v>
      </x:c>
    </x:row>
    <x:row r="211">
      <x:c r="A211" s="15" t="str">
        <x:v>ORD00210</x:v>
      </x:c>
      <x:c r="B211" s="15" t="n">
        <x:v>45845</x:v>
      </x:c>
      <x:c r="C211" s="15" t="str">
        <x:v>CUST0054</x:v>
      </x:c>
      <x:c r="D211" s="15" t="str">
        <x:v>REP004</x:v>
      </x:c>
      <x:c r="E211" s="15" t="str">
        <x:v>East</x:v>
      </x:c>
      <x:c r="F211" s="15" t="str">
        <x:v>Guwahati</x:v>
      </x:c>
      <x:c r="G211" s="15" t="str">
        <x:v>Delivered</x:v>
      </x:c>
      <x:c r="H211" s="15" t="str">
        <x:v>Distributor</x:v>
      </x:c>
    </x:row>
    <x:row r="212">
      <x:c r="A212" s="15" t="str">
        <x:v>ORD00211</x:v>
      </x:c>
      <x:c r="B212" s="15" t="n">
        <x:v>45929</x:v>
      </x:c>
      <x:c r="C212" s="15" t="str">
        <x:v>CUST0060</x:v>
      </x:c>
      <x:c r="D212" s="15" t="str">
        <x:v>REP016</x:v>
      </x:c>
      <x:c r="E212" s="15" t="str">
        <x:v>East</x:v>
      </x:c>
      <x:c r="F212" s="15" t="str">
        <x:v>Kolkata</x:v>
      </x:c>
      <x:c r="G212" s="15" t="str">
        <x:v>Delivered</x:v>
      </x:c>
      <x:c r="H212" s="15" t="str">
        <x:v>Distributor</x:v>
      </x:c>
    </x:row>
    <x:row r="213">
      <x:c r="A213" s="15" t="str">
        <x:v>ORD00212</x:v>
      </x:c>
      <x:c r="B213" s="15" t="n">
        <x:v>45950</x:v>
      </x:c>
      <x:c r="C213" s="15" t="str">
        <x:v>CUST0068</x:v>
      </x:c>
      <x:c r="D213" s="15" t="str">
        <x:v>REP004</x:v>
      </x:c>
      <x:c r="E213" s="15" t="str">
        <x:v>East</x:v>
      </x:c>
      <x:c r="F213" s="15" t="str">
        <x:v>Guwahati</x:v>
      </x:c>
      <x:c r="G213" s="15" t="str">
        <x:v>Pending</x:v>
      </x:c>
      <x:c r="H213" s="15" t="str">
        <x:v>Distributor</x:v>
      </x:c>
    </x:row>
    <x:row r="214">
      <x:c r="A214" s="15" t="str">
        <x:v>ORD00213</x:v>
      </x:c>
      <x:c r="B214" s="15" t="n">
        <x:v>46141</x:v>
      </x:c>
      <x:c r="C214" s="15" t="str">
        <x:v>CUST0044</x:v>
      </x:c>
      <x:c r="D214" s="15" t="str">
        <x:v>REP007</x:v>
      </x:c>
      <x:c r="E214" s="15" t="str">
        <x:v>North</x:v>
      </x:c>
      <x:c r="F214" s="15" t="str">
        <x:v>Lucknow</x:v>
      </x:c>
      <x:c r="G214" s="15" t="str">
        <x:v>Delivered</x:v>
      </x:c>
      <x:c r="H214" s="15" t="str">
        <x:v>Online</x:v>
      </x:c>
    </x:row>
    <x:row r="215">
      <x:c r="A215" s="15" t="str">
        <x:v>ORD00214</x:v>
      </x:c>
      <x:c r="B215" s="15" t="n">
        <x:v>46126</x:v>
      </x:c>
      <x:c r="C215" s="15" t="str">
        <x:v>CUST0025</x:v>
      </x:c>
      <x:c r="D215" s="15" t="str">
        <x:v>REP007</x:v>
      </x:c>
      <x:c r="E215" s="15" t="str">
        <x:v>North</x:v>
      </x:c>
      <x:c r="F215" s="15" t="str">
        <x:v>Lucknow</x:v>
      </x:c>
      <x:c r="G215" s="15" t="str">
        <x:v>Delivered</x:v>
      </x:c>
      <x:c r="H215" s="15" t="str">
        <x:v>Online</x:v>
      </x:c>
    </x:row>
    <x:row r="216">
      <x:c r="A216" s="15" t="str">
        <x:v>ORD00215</x:v>
      </x:c>
      <x:c r="B216" s="15" t="n">
        <x:v>45756</x:v>
      </x:c>
      <x:c r="C216" s="15" t="str">
        <x:v>CUST0060</x:v>
      </x:c>
      <x:c r="D216" s="15" t="str">
        <x:v>REP008</x:v>
      </x:c>
      <x:c r="E216" s="15" t="str">
        <x:v>East</x:v>
      </x:c>
      <x:c r="F216" s="15" t="str">
        <x:v>Kolkata</x:v>
      </x:c>
      <x:c r="G216" s="15" t="str">
        <x:v>Delivered</x:v>
      </x:c>
      <x:c r="H216" s="15" t="str">
        <x:v>Direct Sales</x:v>
      </x:c>
    </x:row>
    <x:row r="217">
      <x:c r="A217" s="15" t="str">
        <x:v>ORD00216</x:v>
      </x:c>
      <x:c r="B217" s="15" t="n">
        <x:v>46109</x:v>
      </x:c>
      <x:c r="C217" s="15" t="str">
        <x:v>CUST0007</x:v>
      </x:c>
      <x:c r="D217" s="15" t="str">
        <x:v>REP012</x:v>
      </x:c>
      <x:c r="E217" s="15" t="str">
        <x:v>East</x:v>
      </x:c>
      <x:c r="F217" s="15" t="str">
        <x:v>Guwahati</x:v>
      </x:c>
      <x:c r="G217" s="15" t="str">
        <x:v>Delivered</x:v>
      </x:c>
      <x:c r="H217" s="15" t="str">
        <x:v>Online</x:v>
      </x:c>
    </x:row>
    <x:row r="218">
      <x:c r="A218" s="15" t="str">
        <x:v>ORD00217</x:v>
      </x:c>
      <x:c r="B218" s="15" t="n">
        <x:v>46009</x:v>
      </x:c>
      <x:c r="C218" s="15" t="str">
        <x:v>CUST0062</x:v>
      </x:c>
      <x:c r="D218" s="15" t="str">
        <x:v>REP001</x:v>
      </x:c>
      <x:c r="E218" s="15" t="str">
        <x:v>South</x:v>
      </x:c>
      <x:c r="F218" s="15" t="str">
        <x:v>Chennai</x:v>
      </x:c>
      <x:c r="G218" s="15" t="str">
        <x:v>Delivered</x:v>
      </x:c>
      <x:c r="H218" s="15" t="str">
        <x:v>Distributor</x:v>
      </x:c>
    </x:row>
    <x:row r="219">
      <x:c r="A219" s="15" t="str">
        <x:v>ORD00218</x:v>
      </x:c>
      <x:c r="B219" s="15" t="n">
        <x:v>45735</x:v>
      </x:c>
      <x:c r="C219" s="15" t="str">
        <x:v>CUST0086</x:v>
      </x:c>
      <x:c r="D219" s="15" t="str">
        <x:v>REP016</x:v>
      </x:c>
      <x:c r="E219" s="15" t="str">
        <x:v>East</x:v>
      </x:c>
      <x:c r="F219" s="15" t="str">
        <x:v>Kolkata</x:v>
      </x:c>
      <x:c r="G219" s="15" t="str">
        <x:v>Cancelled</x:v>
      </x:c>
      <x:c r="H219" s="15" t="str">
        <x:v>Direct Sales</x:v>
      </x:c>
    </x:row>
    <x:row r="220">
      <x:c r="A220" s="15" t="str">
        <x:v>ORD00219</x:v>
      </x:c>
      <x:c r="B220" s="15" t="n">
        <x:v>45904</x:v>
      </x:c>
      <x:c r="C220" s="15" t="str">
        <x:v>CUST0028</x:v>
      </x:c>
      <x:c r="D220" s="15" t="str">
        <x:v>REP007</x:v>
      </x:c>
      <x:c r="E220" s="15" t="str">
        <x:v>North</x:v>
      </x:c>
      <x:c r="F220" s="15" t="str">
        <x:v>Delhi</x:v>
      </x:c>
      <x:c r="G220" s="15" t="str">
        <x:v>Delivered</x:v>
      </x:c>
      <x:c r="H220" s="15" t="str">
        <x:v>Online</x:v>
      </x:c>
    </x:row>
    <x:row r="221">
      <x:c r="A221" s="15" t="str">
        <x:v>ORD00220</x:v>
      </x:c>
      <x:c r="B221" s="15" t="n">
        <x:v>46019</x:v>
      </x:c>
      <x:c r="C221" s="15" t="str">
        <x:v>CUST0071</x:v>
      </x:c>
      <x:c r="D221" s="15" t="str">
        <x:v>REP012</x:v>
      </x:c>
      <x:c r="E221" s="15" t="str">
        <x:v>East</x:v>
      </x:c>
      <x:c r="F221" s="15" t="str">
        <x:v>Kolkata</x:v>
      </x:c>
      <x:c r="G221" s="15" t="str">
        <x:v>Delivered</x:v>
      </x:c>
      <x:c r="H221" s="15" t="str">
        <x:v>Online</x:v>
      </x:c>
    </x:row>
    <x:row r="222">
      <x:c r="A222" s="15" t="str">
        <x:v>ORD00221</x:v>
      </x:c>
      <x:c r="B222" s="15" t="n">
        <x:v>46033</x:v>
      </x:c>
      <x:c r="C222" s="15" t="str">
        <x:v>CUST0074</x:v>
      </x:c>
      <x:c r="D222" s="15" t="str">
        <x:v>REP013</x:v>
      </x:c>
      <x:c r="E222" s="15" t="str">
        <x:v>South</x:v>
      </x:c>
      <x:c r="F222" s="15" t="str">
        <x:v>Bengaluru</x:v>
      </x:c>
      <x:c r="G222" s="15" t="str">
        <x:v>Delivered</x:v>
      </x:c>
      <x:c r="H222" s="15" t="str">
        <x:v>Direct Sales</x:v>
      </x:c>
    </x:row>
    <x:row r="223">
      <x:c r="A223" s="15" t="str">
        <x:v>ORD00222</x:v>
      </x:c>
      <x:c r="B223" s="15" t="n">
        <x:v>45854</x:v>
      </x:c>
      <x:c r="C223" s="15" t="str">
        <x:v>CUST0059</x:v>
      </x:c>
      <x:c r="D223" s="15" t="str">
        <x:v>REP010</x:v>
      </x:c>
      <x:c r="E223" s="15" t="str">
        <x:v>West</x:v>
      </x:c>
      <x:c r="F223" s="15" t="str">
        <x:v>Pune</x:v>
      </x:c>
      <x:c r="G223" s="15" t="str">
        <x:v>Delivered</x:v>
      </x:c>
      <x:c r="H223" s="15" t="str">
        <x:v>Distributor</x:v>
      </x:c>
    </x:row>
    <x:row r="224">
      <x:c r="A224" s="15" t="str">
        <x:v>ORD00223</x:v>
      </x:c>
      <x:c r="B224" s="15" t="n">
        <x:v>46130</x:v>
      </x:c>
      <x:c r="C224" s="15" t="str">
        <x:v>CUST0099</x:v>
      </x:c>
      <x:c r="D224" s="15" t="str">
        <x:v>REP015</x:v>
      </x:c>
      <x:c r="E224" s="15" t="str">
        <x:v>North</x:v>
      </x:c>
      <x:c r="F224" s="15" t="str">
        <x:v>Lucknow</x:v>
      </x:c>
      <x:c r="G224" s="15" t="str">
        <x:v>Delivered</x:v>
      </x:c>
      <x:c r="H224" s="15" t="str">
        <x:v>Online</x:v>
      </x:c>
    </x:row>
    <x:row r="225">
      <x:c r="A225" s="15" t="str">
        <x:v>ORD00224</x:v>
      </x:c>
      <x:c r="B225" s="15" t="n">
        <x:v>45855</x:v>
      </x:c>
      <x:c r="C225" s="15" t="str">
        <x:v>CUST0048</x:v>
      </x:c>
      <x:c r="D225" s="15" t="str">
        <x:v>REP015</x:v>
      </x:c>
      <x:c r="E225" s="15" t="str">
        <x:v>North</x:v>
      </x:c>
      <x:c r="F225" s="15" t="str">
        <x:v>Lucknow</x:v>
      </x:c>
      <x:c r="G225" s="15" t="str">
        <x:v>Delivered</x:v>
      </x:c>
      <x:c r="H225" s="15" t="str">
        <x:v>Distributor</x:v>
      </x:c>
    </x:row>
    <x:row r="226">
      <x:c r="A226" s="15" t="str">
        <x:v>ORD00225</x:v>
      </x:c>
      <x:c r="B226" s="15" t="n">
        <x:v>45939</x:v>
      </x:c>
      <x:c r="C226" s="15" t="str">
        <x:v>CUST0056</x:v>
      </x:c>
      <x:c r="D226" s="15" t="str">
        <x:v>REP006</x:v>
      </x:c>
      <x:c r="E226" s="15" t="str">
        <x:v>West</x:v>
      </x:c>
      <x:c r="F226" s="15" t="str">
        <x:v>Mumbai</x:v>
      </x:c>
      <x:c r="G226" s="15" t="str">
        <x:v>Delivered</x:v>
      </x:c>
      <x:c r="H226" s="15" t="str">
        <x:v>Distributor</x:v>
      </x:c>
    </x:row>
    <x:row r="227">
      <x:c r="A227" s="15" t="str">
        <x:v>ORD00226</x:v>
      </x:c>
      <x:c r="B227" s="15" t="n">
        <x:v>45869</x:v>
      </x:c>
      <x:c r="C227" s="15" t="str">
        <x:v>CUST0042</x:v>
      </x:c>
      <x:c r="D227" s="15" t="str">
        <x:v>REP011</x:v>
      </x:c>
      <x:c r="E227" s="15" t="str">
        <x:v>North</x:v>
      </x:c>
      <x:c r="F227" s="15" t="str">
        <x:v>Jaipur</x:v>
      </x:c>
      <x:c r="G227" s="15" t="str">
        <x:v>Pending</x:v>
      </x:c>
      <x:c r="H227" s="15" t="str">
        <x:v>Direct Sales</x:v>
      </x:c>
    </x:row>
    <x:row r="228">
      <x:c r="A228" s="15" t="str">
        <x:v>ORD00227</x:v>
      </x:c>
      <x:c r="B228" s="15" t="n">
        <x:v>45967</x:v>
      </x:c>
      <x:c r="C228" s="15" t="str">
        <x:v>CUST0092</x:v>
      </x:c>
      <x:c r="D228" s="15" t="str">
        <x:v>REP003</x:v>
      </x:c>
      <x:c r="E228" s="15" t="str">
        <x:v>North</x:v>
      </x:c>
      <x:c r="F228" s="15" t="str">
        <x:v>Delhi</x:v>
      </x:c>
      <x:c r="G228" s="15" t="str">
        <x:v>Delivered</x:v>
      </x:c>
      <x:c r="H228" s="15" t="str">
        <x:v>Direct Sales</x:v>
      </x:c>
    </x:row>
    <x:row r="229">
      <x:c r="A229" s="15" t="str">
        <x:v>ORD00228</x:v>
      </x:c>
      <x:c r="B229" s="15" t="n">
        <x:v>46085</x:v>
      </x:c>
      <x:c r="C229" s="15" t="str">
        <x:v>CUST0081</x:v>
      </x:c>
      <x:c r="D229" s="15" t="str">
        <x:v>REP006</x:v>
      </x:c>
      <x:c r="E229" s="15" t="str">
        <x:v>West</x:v>
      </x:c>
      <x:c r="F229" s="15" t="str">
        <x:v>Mumbai</x:v>
      </x:c>
      <x:c r="G229" s="15" t="str">
        <x:v>Delivered</x:v>
      </x:c>
      <x:c r="H229" s="15" t="str">
        <x:v>Online</x:v>
      </x:c>
    </x:row>
    <x:row r="230">
      <x:c r="A230" s="15" t="str">
        <x:v>ORD00229</x:v>
      </x:c>
      <x:c r="B230" s="15" t="n">
        <x:v>45846</x:v>
      </x:c>
      <x:c r="C230" s="15" t="str">
        <x:v>CUST0065</x:v>
      </x:c>
      <x:c r="D230" s="15" t="str">
        <x:v>REP003</x:v>
      </x:c>
      <x:c r="E230" s="15" t="str">
        <x:v>North</x:v>
      </x:c>
      <x:c r="F230" s="15" t="str">
        <x:v>Jaipur</x:v>
      </x:c>
      <x:c r="G230" s="15" t="str">
        <x:v>Delivered</x:v>
      </x:c>
      <x:c r="H230" s="15" t="str">
        <x:v>Distributor</x:v>
      </x:c>
    </x:row>
    <x:row r="231">
      <x:c r="A231" s="15" t="str">
        <x:v>ORD00230</x:v>
      </x:c>
      <x:c r="B231" s="15" t="n">
        <x:v>46069</x:v>
      </x:c>
      <x:c r="C231" s="15" t="str">
        <x:v>CUST0076</x:v>
      </x:c>
      <x:c r="D231" s="15" t="str">
        <x:v>REP015</x:v>
      </x:c>
      <x:c r="E231" s="15" t="str">
        <x:v>North</x:v>
      </x:c>
      <x:c r="F231" s="15" t="str">
        <x:v>Jaipur</x:v>
      </x:c>
      <x:c r="G231" s="15" t="str">
        <x:v>Delivered</x:v>
      </x:c>
      <x:c r="H231" s="15" t="str">
        <x:v>Distributor</x:v>
      </x:c>
    </x:row>
    <x:row r="232">
      <x:c r="A232" s="15" t="str">
        <x:v>ORD00231</x:v>
      </x:c>
      <x:c r="B232" s="15" t="n">
        <x:v>45712</x:v>
      </x:c>
      <x:c r="C232" s="15" t="str">
        <x:v>CUST0003</x:v>
      </x:c>
      <x:c r="D232" s="15" t="str">
        <x:v>REP014</x:v>
      </x:c>
      <x:c r="E232" s="15" t="str">
        <x:v>West</x:v>
      </x:c>
      <x:c r="F232" s="15" t="str">
        <x:v>Ahmedabad</x:v>
      </x:c>
      <x:c r="G232" s="15" t="str">
        <x:v>Delivered</x:v>
      </x:c>
      <x:c r="H232" s="15" t="str">
        <x:v>Distributor</x:v>
      </x:c>
    </x:row>
    <x:row r="233">
      <x:c r="A233" s="15" t="str">
        <x:v>ORD00232</x:v>
      </x:c>
      <x:c r="B233" s="15" t="n">
        <x:v>46155</x:v>
      </x:c>
      <x:c r="C233" s="15" t="str">
        <x:v>CUST0076</x:v>
      </x:c>
      <x:c r="D233" s="15" t="str">
        <x:v>REP007</x:v>
      </x:c>
      <x:c r="E233" s="15" t="str">
        <x:v>North</x:v>
      </x:c>
      <x:c r="F233" s="15" t="str">
        <x:v>Jaipur</x:v>
      </x:c>
      <x:c r="G233" s="15" t="str">
        <x:v>Cancelled</x:v>
      </x:c>
      <x:c r="H233" s="15" t="str">
        <x:v>Online</x:v>
      </x:c>
    </x:row>
    <x:row r="234">
      <x:c r="A234" s="15" t="str">
        <x:v>ORD00233</x:v>
      </x:c>
      <x:c r="B234" s="15" t="n">
        <x:v>46034</x:v>
      </x:c>
      <x:c r="C234" s="15" t="str">
        <x:v>CUST0048</x:v>
      </x:c>
      <x:c r="D234" s="15" t="str">
        <x:v>REP011</x:v>
      </x:c>
      <x:c r="E234" s="15" t="str">
        <x:v>North</x:v>
      </x:c>
      <x:c r="F234" s="15" t="str">
        <x:v>Lucknow</x:v>
      </x:c>
      <x:c r="G234" s="15" t="str">
        <x:v>Delivered</x:v>
      </x:c>
      <x:c r="H234" s="15" t="str">
        <x:v>Distributor</x:v>
      </x:c>
    </x:row>
    <x:row r="235">
      <x:c r="A235" s="15" t="str">
        <x:v>ORD00234</x:v>
      </x:c>
      <x:c r="B235" s="15" t="n">
        <x:v>45888</x:v>
      </x:c>
      <x:c r="C235" s="15" t="str">
        <x:v>CUST0084</x:v>
      </x:c>
      <x:c r="D235" s="15" t="str">
        <x:v>REP009</x:v>
      </x:c>
      <x:c r="E235" s="15" t="str">
        <x:v>South</x:v>
      </x:c>
      <x:c r="F235" s="15" t="str">
        <x:v>Chennai</x:v>
      </x:c>
      <x:c r="G235" s="15" t="str">
        <x:v>Delivered</x:v>
      </x:c>
      <x:c r="H235" s="15" t="str">
        <x:v>Distributor</x:v>
      </x:c>
    </x:row>
    <x:row r="236">
      <x:c r="A236" s="15" t="str">
        <x:v>ORD00235</x:v>
      </x:c>
      <x:c r="B236" s="15" t="n">
        <x:v>46059</x:v>
      </x:c>
      <x:c r="C236" s="15" t="str">
        <x:v>CUST0003</x:v>
      </x:c>
      <x:c r="D236" s="15" t="str">
        <x:v>REP010</x:v>
      </x:c>
      <x:c r="E236" s="15" t="str">
        <x:v>West</x:v>
      </x:c>
      <x:c r="F236" s="15" t="str">
        <x:v>Ahmedabad</x:v>
      </x:c>
      <x:c r="G236" s="15" t="str">
        <x:v>Delivered</x:v>
      </x:c>
      <x:c r="H236" s="15" t="str">
        <x:v>Direct Sales</x:v>
      </x:c>
    </x:row>
    <x:row r="237">
      <x:c r="A237" s="15" t="str">
        <x:v>ORD00236</x:v>
      </x:c>
      <x:c r="B237" s="15" t="n">
        <x:v>46061</x:v>
      </x:c>
      <x:c r="C237" s="15" t="str">
        <x:v>CUST0031</x:v>
      </x:c>
      <x:c r="D237" s="15" t="str">
        <x:v>REP006</x:v>
      </x:c>
      <x:c r="E237" s="15" t="str">
        <x:v>West</x:v>
      </x:c>
      <x:c r="F237" s="15" t="str">
        <x:v>Pune</x:v>
      </x:c>
      <x:c r="G237" s="15" t="str">
        <x:v>Cancelled</x:v>
      </x:c>
      <x:c r="H237" s="15" t="str">
        <x:v>Distributor</x:v>
      </x:c>
    </x:row>
    <x:row r="238">
      <x:c r="A238" s="15" t="str">
        <x:v>ORD00237</x:v>
      </x:c>
      <x:c r="B238" s="15" t="n">
        <x:v>45961</x:v>
      </x:c>
      <x:c r="C238" s="15" t="str">
        <x:v>CUST0083</x:v>
      </x:c>
      <x:c r="D238" s="15" t="str">
        <x:v>REP011</x:v>
      </x:c>
      <x:c r="E238" s="15" t="str">
        <x:v>North</x:v>
      </x:c>
      <x:c r="F238" s="15" t="str">
        <x:v>Jaipur</x:v>
      </x:c>
      <x:c r="G238" s="15" t="str">
        <x:v>Delivered</x:v>
      </x:c>
      <x:c r="H238" s="15" t="str">
        <x:v>Online</x:v>
      </x:c>
    </x:row>
    <x:row r="239">
      <x:c r="A239" s="15" t="str">
        <x:v>ORD00238</x:v>
      </x:c>
      <x:c r="B239" s="15" t="n">
        <x:v>46166</x:v>
      </x:c>
      <x:c r="C239" s="15" t="str">
        <x:v>CUST0061</x:v>
      </x:c>
      <x:c r="D239" s="15" t="str">
        <x:v>REP007</x:v>
      </x:c>
      <x:c r="E239" s="15" t="str">
        <x:v>North</x:v>
      </x:c>
      <x:c r="F239" s="15" t="str">
        <x:v>Jaipur</x:v>
      </x:c>
      <x:c r="G239" s="15" t="str">
        <x:v>Delivered</x:v>
      </x:c>
      <x:c r="H239" s="15" t="str">
        <x:v>Distributor</x:v>
      </x:c>
    </x:row>
    <x:row r="240">
      <x:c r="A240" s="15" t="str">
        <x:v>ORD00239</x:v>
      </x:c>
      <x:c r="B240" s="15" t="n">
        <x:v>46006</x:v>
      </x:c>
      <x:c r="C240" s="15" t="str">
        <x:v>CUST0064</x:v>
      </x:c>
      <x:c r="D240" s="15" t="str">
        <x:v>REP013</x:v>
      </x:c>
      <x:c r="E240" s="15" t="str">
        <x:v>South</x:v>
      </x:c>
      <x:c r="F240" s="15" t="str">
        <x:v>Chennai</x:v>
      </x:c>
      <x:c r="G240" s="15" t="str">
        <x:v>Cancelled</x:v>
      </x:c>
      <x:c r="H240" s="15" t="str">
        <x:v>Direct Sales</x:v>
      </x:c>
    </x:row>
    <x:row r="241">
      <x:c r="A241" s="15" t="str">
        <x:v>ORD00240</x:v>
      </x:c>
      <x:c r="B241" s="15" t="n">
        <x:v>45669</x:v>
      </x:c>
      <x:c r="C241" s="15" t="str">
        <x:v>CUST0088</x:v>
      </x:c>
      <x:c r="D241" s="15" t="str">
        <x:v>REP014</x:v>
      </x:c>
      <x:c r="E241" s="15" t="str">
        <x:v>West</x:v>
      </x:c>
      <x:c r="F241" s="15" t="str">
        <x:v>Pune</x:v>
      </x:c>
      <x:c r="G241" s="15" t="str">
        <x:v>Delivered</x:v>
      </x:c>
      <x:c r="H241" s="15" t="str">
        <x:v>Direct Sales</x:v>
      </x:c>
    </x:row>
    <x:row r="242">
      <x:c r="A242" s="15" t="str">
        <x:v>ORD00241</x:v>
      </x:c>
      <x:c r="B242" s="15" t="n">
        <x:v>45920</x:v>
      </x:c>
      <x:c r="C242" s="15" t="str">
        <x:v>CUST0077</x:v>
      </x:c>
      <x:c r="D242" s="15" t="str">
        <x:v>REP002</x:v>
      </x:c>
      <x:c r="E242" s="15" t="str">
        <x:v>West</x:v>
      </x:c>
      <x:c r="F242" s="15" t="str">
        <x:v>Pune</x:v>
      </x:c>
      <x:c r="G242" s="15" t="str">
        <x:v>Delivered</x:v>
      </x:c>
      <x:c r="H242" s="15" t="str">
        <x:v>Distributor</x:v>
      </x:c>
    </x:row>
    <x:row r="243">
      <x:c r="A243" s="15" t="str">
        <x:v>ORD00242</x:v>
      </x:c>
      <x:c r="B243" s="15" t="n">
        <x:v>45987</x:v>
      </x:c>
      <x:c r="C243" s="15" t="str">
        <x:v>CUST0029</x:v>
      </x:c>
      <x:c r="D243" s="15" t="str">
        <x:v>REP001</x:v>
      </x:c>
      <x:c r="E243" s="15" t="str">
        <x:v>South</x:v>
      </x:c>
      <x:c r="F243" s="15" t="str">
        <x:v>Chennai</x:v>
      </x:c>
      <x:c r="G243" s="15" t="str">
        <x:v>Delivered</x:v>
      </x:c>
      <x:c r="H243" s="15" t="str">
        <x:v>Distributor</x:v>
      </x:c>
    </x:row>
    <x:row r="244">
      <x:c r="A244" s="15" t="str">
        <x:v>ORD00243</x:v>
      </x:c>
      <x:c r="B244" s="15" t="n">
        <x:v>45730</x:v>
      </x:c>
      <x:c r="C244" s="15" t="str">
        <x:v>CUST0078</x:v>
      </x:c>
      <x:c r="D244" s="15" t="str">
        <x:v>REP007</x:v>
      </x:c>
      <x:c r="E244" s="15" t="str">
        <x:v>North</x:v>
      </x:c>
      <x:c r="F244" s="15" t="str">
        <x:v>Jaipur</x:v>
      </x:c>
      <x:c r="G244" s="15" t="str">
        <x:v>Cancelled</x:v>
      </x:c>
      <x:c r="H244" s="15" t="str">
        <x:v>Online</x:v>
      </x:c>
    </x:row>
    <x:row r="245">
      <x:c r="A245" s="15" t="str">
        <x:v>ORD00244</x:v>
      </x:c>
      <x:c r="B245" s="15" t="n">
        <x:v>46179</x:v>
      </x:c>
      <x:c r="C245" s="15" t="str">
        <x:v>CUST0039</x:v>
      </x:c>
      <x:c r="D245" s="15" t="str">
        <x:v>REP002</x:v>
      </x:c>
      <x:c r="E245" s="15" t="str">
        <x:v>West</x:v>
      </x:c>
      <x:c r="F245" s="15" t="str">
        <x:v>Pune</x:v>
      </x:c>
      <x:c r="G245" s="15" t="str">
        <x:v>Cancelled</x:v>
      </x:c>
      <x:c r="H245" s="15" t="str">
        <x:v>Online</x:v>
      </x:c>
    </x:row>
    <x:row r="246">
      <x:c r="A246" s="15" t="str">
        <x:v>ORD00245</x:v>
      </x:c>
      <x:c r="B246" s="15" t="n">
        <x:v>45810</x:v>
      </x:c>
      <x:c r="C246" s="15" t="str">
        <x:v>CUST0024</x:v>
      </x:c>
      <x:c r="D246" s="15" t="str">
        <x:v>REP003</x:v>
      </x:c>
      <x:c r="E246" s="15" t="str">
        <x:v>North</x:v>
      </x:c>
      <x:c r="F246" s="15" t="str">
        <x:v>Delhi</x:v>
      </x:c>
      <x:c r="G246" s="15" t="str">
        <x:v>Delivered</x:v>
      </x:c>
      <x:c r="H246" s="15" t="str">
        <x:v>Online</x:v>
      </x:c>
    </x:row>
    <x:row r="247">
      <x:c r="A247" s="15" t="str">
        <x:v>ORD00246</x:v>
      </x:c>
      <x:c r="B247" s="15" t="n">
        <x:v>45916</x:v>
      </x:c>
      <x:c r="C247" s="15" t="str">
        <x:v>CUST0079</x:v>
      </x:c>
      <x:c r="D247" s="15" t="str">
        <x:v>REP002</x:v>
      </x:c>
      <x:c r="E247" s="15" t="str">
        <x:v>West</x:v>
      </x:c>
      <x:c r="F247" s="15" t="str">
        <x:v>Mumbai</x:v>
      </x:c>
      <x:c r="G247" s="15" t="str">
        <x:v>Delivered</x:v>
      </x:c>
      <x:c r="H247" s="15" t="str">
        <x:v>Direct Sales</x:v>
      </x:c>
    </x:row>
    <x:row r="248">
      <x:c r="A248" s="15" t="str">
        <x:v>ORD00247</x:v>
      </x:c>
      <x:c r="B248" s="15" t="n">
        <x:v>45994</x:v>
      </x:c>
      <x:c r="C248" s="15" t="str">
        <x:v>CUST0064</x:v>
      </x:c>
      <x:c r="D248" s="15" t="str">
        <x:v>REP001</x:v>
      </x:c>
      <x:c r="E248" s="15" t="str">
        <x:v>South</x:v>
      </x:c>
      <x:c r="F248" s="15" t="str">
        <x:v>Chennai</x:v>
      </x:c>
      <x:c r="G248" s="15" t="str">
        <x:v>Delivered</x:v>
      </x:c>
      <x:c r="H248" s="15" t="str">
        <x:v>Online</x:v>
      </x:c>
    </x:row>
    <x:row r="249">
      <x:c r="A249" s="15" t="str">
        <x:v>ORD00248</x:v>
      </x:c>
      <x:c r="B249" s="15" t="n">
        <x:v>45930</x:v>
      </x:c>
      <x:c r="C249" s="15" t="str">
        <x:v>CUST0065</x:v>
      </x:c>
      <x:c r="D249" s="15" t="str">
        <x:v>REP003</x:v>
      </x:c>
      <x:c r="E249" s="15" t="str">
        <x:v>North</x:v>
      </x:c>
      <x:c r="F249" s="15" t="str">
        <x:v>Jaipur</x:v>
      </x:c>
      <x:c r="G249" s="15" t="str">
        <x:v>Delivered</x:v>
      </x:c>
      <x:c r="H249" s="15" t="str">
        <x:v>Online</x:v>
      </x:c>
    </x:row>
    <x:row r="250">
      <x:c r="A250" s="15" t="str">
        <x:v>ORD00249</x:v>
      </x:c>
      <x:c r="B250" s="15" t="n">
        <x:v>45721</x:v>
      </x:c>
      <x:c r="C250" s="15" t="str">
        <x:v>CUST0091</x:v>
      </x:c>
      <x:c r="D250" s="15" t="str">
        <x:v>REP015</x:v>
      </x:c>
      <x:c r="E250" s="15" t="str">
        <x:v>North</x:v>
      </x:c>
      <x:c r="F250" s="15" t="str">
        <x:v>Delhi</x:v>
      </x:c>
      <x:c r="G250" s="15" t="str">
        <x:v>Delivered</x:v>
      </x:c>
      <x:c r="H250" s="15" t="str">
        <x:v>Direct Sales</x:v>
      </x:c>
    </x:row>
    <x:row r="251">
      <x:c r="A251" s="15" t="str">
        <x:v>ORD00250</x:v>
      </x:c>
      <x:c r="B251" s="15" t="n">
        <x:v>45845</x:v>
      </x:c>
      <x:c r="C251" s="15" t="str">
        <x:v>CUST0059</x:v>
      </x:c>
      <x:c r="D251" s="15" t="str">
        <x:v>REP002</x:v>
      </x:c>
      <x:c r="E251" s="15" t="str">
        <x:v>West</x:v>
      </x:c>
      <x:c r="F251" s="15" t="str">
        <x:v>Pune</x:v>
      </x:c>
      <x:c r="G251" s="15" t="str">
        <x:v>Delivered</x:v>
      </x:c>
      <x:c r="H251" s="15" t="str">
        <x:v>Direct Sales</x:v>
      </x:c>
    </x:row>
    <x:row r="252">
      <x:c r="A252" s="15" t="str">
        <x:v>ORD00251</x:v>
      </x:c>
      <x:c r="B252" s="15" t="n">
        <x:v>46135</x:v>
      </x:c>
      <x:c r="C252" s="15" t="str">
        <x:v>CUST0088</x:v>
      </x:c>
      <x:c r="D252" s="15" t="str">
        <x:v>REP014</x:v>
      </x:c>
      <x:c r="E252" s="15" t="str">
        <x:v>West</x:v>
      </x:c>
      <x:c r="F252" s="15" t="str">
        <x:v>Pune</x:v>
      </x:c>
      <x:c r="G252" s="15" t="str">
        <x:v>Cancelled</x:v>
      </x:c>
      <x:c r="H252" s="15" t="str">
        <x:v>Distributor</x:v>
      </x:c>
    </x:row>
    <x:row r="253">
      <x:c r="A253" s="15" t="str">
        <x:v>ORD00252</x:v>
      </x:c>
      <x:c r="B253" s="15" t="n">
        <x:v>46165</x:v>
      </x:c>
      <x:c r="C253" s="15" t="str">
        <x:v>CUST0040</x:v>
      </x:c>
      <x:c r="D253" s="15" t="str">
        <x:v>REP015</x:v>
      </x:c>
      <x:c r="E253" s="15" t="str">
        <x:v>North</x:v>
      </x:c>
      <x:c r="F253" s="15" t="str">
        <x:v>Delhi</x:v>
      </x:c>
      <x:c r="G253" s="15" t="str">
        <x:v>Delivered</x:v>
      </x:c>
      <x:c r="H253" s="15" t="str">
        <x:v>Direct Sales</x:v>
      </x:c>
    </x:row>
    <x:row r="254">
      <x:c r="A254" s="15" t="str">
        <x:v>ORD00253</x:v>
      </x:c>
      <x:c r="B254" s="15" t="n">
        <x:v>46174</x:v>
      </x:c>
      <x:c r="C254" s="15" t="str">
        <x:v>CUST0035</x:v>
      </x:c>
      <x:c r="D254" s="15" t="str">
        <x:v>REP002</x:v>
      </x:c>
      <x:c r="E254" s="15" t="str">
        <x:v>West</x:v>
      </x:c>
      <x:c r="F254" s="15" t="str">
        <x:v>Pune</x:v>
      </x:c>
      <x:c r="G254" s="15" t="str">
        <x:v>Delivered</x:v>
      </x:c>
      <x:c r="H254" s="15" t="str">
        <x:v>Online</x:v>
      </x:c>
    </x:row>
    <x:row r="255">
      <x:c r="A255" s="15" t="str">
        <x:v>ORD00254</x:v>
      </x:c>
      <x:c r="B255" s="15" t="n">
        <x:v>45763</x:v>
      </x:c>
      <x:c r="C255" s="15" t="str">
        <x:v>CUST0010</x:v>
      </x:c>
      <x:c r="D255" s="15" t="str">
        <x:v>REP014</x:v>
      </x:c>
      <x:c r="E255" s="15" t="str">
        <x:v>West</x:v>
      </x:c>
      <x:c r="F255" s="15" t="str">
        <x:v>Ahmedabad</x:v>
      </x:c>
      <x:c r="G255" s="15" t="str">
        <x:v>Delivered</x:v>
      </x:c>
      <x:c r="H255" s="15" t="str">
        <x:v>Online</x:v>
      </x:c>
    </x:row>
    <x:row r="256">
      <x:c r="A256" s="15" t="str">
        <x:v>ORD00255</x:v>
      </x:c>
      <x:c r="B256" s="15" t="n">
        <x:v>45694</x:v>
      </x:c>
      <x:c r="C256" s="15" t="str">
        <x:v>CUST0061</x:v>
      </x:c>
      <x:c r="D256" s="15" t="str">
        <x:v>REP015</x:v>
      </x:c>
      <x:c r="E256" s="15" t="str">
        <x:v>North</x:v>
      </x:c>
      <x:c r="F256" s="15" t="str">
        <x:v>Jaipur</x:v>
      </x:c>
      <x:c r="G256" s="15" t="str">
        <x:v>Cancelled</x:v>
      </x:c>
      <x:c r="H256" s="15" t="str">
        <x:v>Online</x:v>
      </x:c>
    </x:row>
    <x:row r="257">
      <x:c r="A257" s="15" t="str">
        <x:v>ORD00256</x:v>
      </x:c>
      <x:c r="B257" s="15" t="n">
        <x:v>46174</x:v>
      </x:c>
      <x:c r="C257" s="15" t="str">
        <x:v>CUST0092</x:v>
      </x:c>
      <x:c r="D257" s="15" t="str">
        <x:v>REP011</x:v>
      </x:c>
      <x:c r="E257" s="15" t="str">
        <x:v>North</x:v>
      </x:c>
      <x:c r="F257" s="15" t="str">
        <x:v>Delhi</x:v>
      </x:c>
      <x:c r="G257" s="15" t="str">
        <x:v>Cancelled</x:v>
      </x:c>
      <x:c r="H257" s="15" t="str">
        <x:v>Direct Sales</x:v>
      </x:c>
    </x:row>
    <x:row r="258">
      <x:c r="A258" s="15" t="str">
        <x:v>ORD00257</x:v>
      </x:c>
      <x:c r="B258" s="15" t="n">
        <x:v>46044</x:v>
      </x:c>
      <x:c r="C258" s="15" t="str">
        <x:v>CUST0087</x:v>
      </x:c>
      <x:c r="D258" s="15" t="str">
        <x:v>REP013</x:v>
      </x:c>
      <x:c r="E258" s="15" t="str">
        <x:v>South</x:v>
      </x:c>
      <x:c r="F258" s="15" t="str">
        <x:v>Chennai</x:v>
      </x:c>
      <x:c r="G258" s="15" t="str">
        <x:v>Delivered</x:v>
      </x:c>
      <x:c r="H258" s="15" t="str">
        <x:v>Distributor</x:v>
      </x:c>
    </x:row>
    <x:row r="259">
      <x:c r="A259" s="15" t="str">
        <x:v>ORD00258</x:v>
      </x:c>
      <x:c r="B259" s="15" t="n">
        <x:v>45989</x:v>
      </x:c>
      <x:c r="C259" s="15" t="str">
        <x:v>CUST0068</x:v>
      </x:c>
      <x:c r="D259" s="15" t="str">
        <x:v>REP008</x:v>
      </x:c>
      <x:c r="E259" s="15" t="str">
        <x:v>East</x:v>
      </x:c>
      <x:c r="F259" s="15" t="str">
        <x:v>Guwahati</x:v>
      </x:c>
      <x:c r="G259" s="15" t="str">
        <x:v>Delivered</x:v>
      </x:c>
      <x:c r="H259" s="15" t="str">
        <x:v>Direct Sales</x:v>
      </x:c>
    </x:row>
    <x:row r="260">
      <x:c r="A260" s="15" t="str">
        <x:v>ORD00259</x:v>
      </x:c>
      <x:c r="B260" s="15" t="n">
        <x:v>45973</x:v>
      </x:c>
      <x:c r="C260" s="15" t="str">
        <x:v>CUST0007</x:v>
      </x:c>
      <x:c r="D260" s="15" t="str">
        <x:v>REP016</x:v>
      </x:c>
      <x:c r="E260" s="15" t="str">
        <x:v>East</x:v>
      </x:c>
      <x:c r="F260" s="15" t="str">
        <x:v>Guwahati</x:v>
      </x:c>
      <x:c r="G260" s="15" t="str">
        <x:v>Delivered</x:v>
      </x:c>
      <x:c r="H260" s="15" t="str">
        <x:v>Online</x:v>
      </x:c>
    </x:row>
    <x:row r="261">
      <x:c r="A261" s="15" t="str">
        <x:v>ORD00260</x:v>
      </x:c>
      <x:c r="B261" s="15" t="n">
        <x:v>45783</x:v>
      </x:c>
      <x:c r="C261" s="15" t="str">
        <x:v>CUST0085</x:v>
      </x:c>
      <x:c r="D261" s="15" t="str">
        <x:v>REP014</x:v>
      </x:c>
      <x:c r="E261" s="15" t="str">
        <x:v>West</x:v>
      </x:c>
      <x:c r="F261" s="15" t="str">
        <x:v>Pune</x:v>
      </x:c>
      <x:c r="G261" s="15" t="str">
        <x:v>Cancelled</x:v>
      </x:c>
      <x:c r="H261" s="15" t="str">
        <x:v>Direct Sales</x:v>
      </x:c>
    </x:row>
    <x:row r="262">
      <x:c r="A262" s="15" t="str">
        <x:v>ORD00261</x:v>
      </x:c>
      <x:c r="B262" s="15" t="n">
        <x:v>46135</x:v>
      </x:c>
      <x:c r="C262" s="15" t="str">
        <x:v>CUST0073</x:v>
      </x:c>
      <x:c r="D262" s="15" t="str">
        <x:v>REP004</x:v>
      </x:c>
      <x:c r="E262" s="15" t="str">
        <x:v>East</x:v>
      </x:c>
      <x:c r="F262" s="15" t="str">
        <x:v>Guwahati</x:v>
      </x:c>
      <x:c r="G262" s="15" t="str">
        <x:v>Delivered</x:v>
      </x:c>
      <x:c r="H262" s="15" t="str">
        <x:v>Online</x:v>
      </x:c>
    </x:row>
    <x:row r="263">
      <x:c r="A263" s="15" t="str">
        <x:v>ORD00262</x:v>
      </x:c>
      <x:c r="B263" s="15" t="n">
        <x:v>45963</x:v>
      </x:c>
      <x:c r="C263" s="15" t="str">
        <x:v>CUST0007</x:v>
      </x:c>
      <x:c r="D263" s="15" t="str">
        <x:v>REP004</x:v>
      </x:c>
      <x:c r="E263" s="15" t="str">
        <x:v>East</x:v>
      </x:c>
      <x:c r="F263" s="15" t="str">
        <x:v>Guwahati</x:v>
      </x:c>
      <x:c r="G263" s="15" t="str">
        <x:v>Delivered</x:v>
      </x:c>
      <x:c r="H263" s="15" t="str">
        <x:v>Distributor</x:v>
      </x:c>
    </x:row>
    <x:row r="264">
      <x:c r="A264" s="15" t="str">
        <x:v>ORD00263</x:v>
      </x:c>
      <x:c r="B264" s="15" t="n">
        <x:v>45904</x:v>
      </x:c>
      <x:c r="C264" s="15" t="str">
        <x:v>CUST0098</x:v>
      </x:c>
      <x:c r="D264" s="15" t="str">
        <x:v>REP014</x:v>
      </x:c>
      <x:c r="E264" s="15" t="str">
        <x:v>West</x:v>
      </x:c>
      <x:c r="F264" s="15" t="str">
        <x:v>Pune</x:v>
      </x:c>
      <x:c r="G264" s="15" t="str">
        <x:v>Delivered</x:v>
      </x:c>
      <x:c r="H264" s="15" t="str">
        <x:v>Direct Sales</x:v>
      </x:c>
    </x:row>
    <x:row r="265">
      <x:c r="A265" s="15" t="str">
        <x:v>ORD00264</x:v>
      </x:c>
      <x:c r="B265" s="15" t="n">
        <x:v>45806</x:v>
      </x:c>
      <x:c r="C265" s="15" t="str">
        <x:v>CUST0002</x:v>
      </x:c>
      <x:c r="D265" s="15" t="str">
        <x:v>REP013</x:v>
      </x:c>
      <x:c r="E265" s="15" t="str">
        <x:v>South</x:v>
      </x:c>
      <x:c r="F265" s="15" t="str">
        <x:v>Hyderabad</x:v>
      </x:c>
      <x:c r="G265" s="15" t="str">
        <x:v>Delivered</x:v>
      </x:c>
      <x:c r="H265" s="15" t="str">
        <x:v>Direct Sales</x:v>
      </x:c>
    </x:row>
    <x:row r="266">
      <x:c r="A266" s="15" t="str">
        <x:v>ORD00265</x:v>
      </x:c>
      <x:c r="B266" s="15" t="n">
        <x:v>46012</x:v>
      </x:c>
      <x:c r="C266" s="15" t="str">
        <x:v>CUST0006</x:v>
      </x:c>
      <x:c r="D266" s="15" t="str">
        <x:v>REP005</x:v>
      </x:c>
      <x:c r="E266" s="15" t="str">
        <x:v>South</x:v>
      </x:c>
      <x:c r="F266" s="15" t="str">
        <x:v>Chennai</x:v>
      </x:c>
      <x:c r="G266" s="15" t="str">
        <x:v>Delivered</x:v>
      </x:c>
      <x:c r="H266" s="15" t="str">
        <x:v>Direct Sales</x:v>
      </x:c>
    </x:row>
    <x:row r="267">
      <x:c r="A267" s="15" t="str">
        <x:v>ORD00266</x:v>
      </x:c>
      <x:c r="B267" s="15" t="n">
        <x:v>45954</x:v>
      </x:c>
      <x:c r="C267" s="15" t="str">
        <x:v>CUST0054</x:v>
      </x:c>
      <x:c r="D267" s="15" t="str">
        <x:v>REP016</x:v>
      </x:c>
      <x:c r="E267" s="15" t="str">
        <x:v>East</x:v>
      </x:c>
      <x:c r="F267" s="15" t="str">
        <x:v>Guwahati</x:v>
      </x:c>
      <x:c r="G267" s="15" t="str">
        <x:v>Pending</x:v>
      </x:c>
      <x:c r="H267" s="15" t="str">
        <x:v>Direct Sales</x:v>
      </x:c>
    </x:row>
    <x:row r="268">
      <x:c r="A268" s="15" t="str">
        <x:v>ORD00267</x:v>
      </x:c>
      <x:c r="B268" s="15" t="n">
        <x:v>46060</x:v>
      </x:c>
      <x:c r="C268" s="15" t="str">
        <x:v>CUST0089</x:v>
      </x:c>
      <x:c r="D268" s="15" t="str">
        <x:v>REP009</x:v>
      </x:c>
      <x:c r="E268" s="15" t="str">
        <x:v>South</x:v>
      </x:c>
      <x:c r="F268" s="15" t="str">
        <x:v>Bengaluru</x:v>
      </x:c>
      <x:c r="G268" s="15" t="str">
        <x:v>Delivered</x:v>
      </x:c>
      <x:c r="H268" s="15" t="str">
        <x:v>Online</x:v>
      </x:c>
    </x:row>
    <x:row r="269">
      <x:c r="A269" s="15" t="str">
        <x:v>ORD00268</x:v>
      </x:c>
      <x:c r="B269" s="15" t="n">
        <x:v>46092</x:v>
      </x:c>
      <x:c r="C269" s="15" t="str">
        <x:v>CUST0057</x:v>
      </x:c>
      <x:c r="D269" s="15" t="str">
        <x:v>REP007</x:v>
      </x:c>
      <x:c r="E269" s="15" t="str">
        <x:v>North</x:v>
      </x:c>
      <x:c r="F269" s="15" t="str">
        <x:v>Jaipur</x:v>
      </x:c>
      <x:c r="G269" s="15" t="str">
        <x:v>Delivered</x:v>
      </x:c>
      <x:c r="H269" s="15" t="str">
        <x:v>Online</x:v>
      </x:c>
    </x:row>
    <x:row r="270">
      <x:c r="A270" s="15" t="str">
        <x:v>ORD00269</x:v>
      </x:c>
      <x:c r="B270" s="15" t="n">
        <x:v>45675</x:v>
      </x:c>
      <x:c r="C270" s="15" t="str">
        <x:v>CUST0099</x:v>
      </x:c>
      <x:c r="D270" s="15" t="str">
        <x:v>REP007</x:v>
      </x:c>
      <x:c r="E270" s="15" t="str">
        <x:v>North</x:v>
      </x:c>
      <x:c r="F270" s="15" t="str">
        <x:v>Lucknow</x:v>
      </x:c>
      <x:c r="G270" s="15" t="str">
        <x:v>Delivered</x:v>
      </x:c>
      <x:c r="H270" s="15" t="str">
        <x:v>Online</x:v>
      </x:c>
    </x:row>
    <x:row r="271">
      <x:c r="A271" s="15" t="str">
        <x:v>ORD00270</x:v>
      </x:c>
      <x:c r="B271" s="15" t="n">
        <x:v>45822</x:v>
      </x:c>
      <x:c r="C271" s="15" t="str">
        <x:v>CUST0073</x:v>
      </x:c>
      <x:c r="D271" s="15" t="str">
        <x:v>REP012</x:v>
      </x:c>
      <x:c r="E271" s="15" t="str">
        <x:v>East</x:v>
      </x:c>
      <x:c r="F271" s="15" t="str">
        <x:v>Guwahati</x:v>
      </x:c>
      <x:c r="G271" s="15" t="str">
        <x:v>Delivered</x:v>
      </x:c>
      <x:c r="H271" s="15" t="str">
        <x:v>Online</x:v>
      </x:c>
    </x:row>
    <x:row r="272">
      <x:c r="A272" s="15" t="str">
        <x:v>ORD00271</x:v>
      </x:c>
      <x:c r="B272" s="15" t="n">
        <x:v>45686</x:v>
      </x:c>
      <x:c r="C272" s="15" t="str">
        <x:v>CUST0066</x:v>
      </x:c>
      <x:c r="D272" s="15" t="str">
        <x:v>REP002</x:v>
      </x:c>
      <x:c r="E272" s="15" t="str">
        <x:v>West</x:v>
      </x:c>
      <x:c r="F272" s="15" t="str">
        <x:v>Mumbai</x:v>
      </x:c>
      <x:c r="G272" s="15" t="str">
        <x:v>Delivered</x:v>
      </x:c>
      <x:c r="H272" s="15" t="str">
        <x:v>Online</x:v>
      </x:c>
    </x:row>
    <x:row r="273">
      <x:c r="A273" s="15" t="str">
        <x:v>ORD00272</x:v>
      </x:c>
      <x:c r="B273" s="15" t="n">
        <x:v>45968</x:v>
      </x:c>
      <x:c r="C273" s="15" t="str">
        <x:v>CUST0007</x:v>
      </x:c>
      <x:c r="D273" s="15" t="str">
        <x:v>REP004</x:v>
      </x:c>
      <x:c r="E273" s="15" t="str">
        <x:v>East</x:v>
      </x:c>
      <x:c r="F273" s="15" t="str">
        <x:v>Guwahati</x:v>
      </x:c>
      <x:c r="G273" s="15" t="str">
        <x:v>Delivered</x:v>
      </x:c>
      <x:c r="H273" s="15" t="str">
        <x:v>Distributor</x:v>
      </x:c>
    </x:row>
    <x:row r="274">
      <x:c r="A274" s="15" t="str">
        <x:v>ORD00273</x:v>
      </x:c>
      <x:c r="B274" s="15" t="n">
        <x:v>46057</x:v>
      </x:c>
      <x:c r="C274" s="15" t="str">
        <x:v>CUST0081</x:v>
      </x:c>
      <x:c r="D274" s="15" t="str">
        <x:v>REP006</x:v>
      </x:c>
      <x:c r="E274" s="15" t="str">
        <x:v>West</x:v>
      </x:c>
      <x:c r="F274" s="15" t="str">
        <x:v>Mumbai</x:v>
      </x:c>
      <x:c r="G274" s="15" t="str">
        <x:v>Delivered</x:v>
      </x:c>
      <x:c r="H274" s="15" t="str">
        <x:v>Online</x:v>
      </x:c>
    </x:row>
    <x:row r="275">
      <x:c r="A275" s="15" t="str">
        <x:v>ORD00274</x:v>
      </x:c>
      <x:c r="B275" s="15" t="n">
        <x:v>45759</x:v>
      </x:c>
      <x:c r="C275" s="15" t="str">
        <x:v>CUST0048</x:v>
      </x:c>
      <x:c r="D275" s="15" t="str">
        <x:v>REP011</x:v>
      </x:c>
      <x:c r="E275" s="15" t="str">
        <x:v>North</x:v>
      </x:c>
      <x:c r="F275" s="15" t="str">
        <x:v>Lucknow</x:v>
      </x:c>
      <x:c r="G275" s="15" t="str">
        <x:v>Delivered</x:v>
      </x:c>
      <x:c r="H275" s="15" t="str">
        <x:v>Distributor</x:v>
      </x:c>
    </x:row>
    <x:row r="276">
      <x:c r="A276" s="15" t="str">
        <x:v>ORD00275</x:v>
      </x:c>
      <x:c r="B276" s="15" t="n">
        <x:v>46004</x:v>
      </x:c>
      <x:c r="C276" s="15" t="str">
        <x:v>CUST0096</x:v>
      </x:c>
      <x:c r="D276" s="15" t="str">
        <x:v>REP007</x:v>
      </x:c>
      <x:c r="E276" s="15" t="str">
        <x:v>North</x:v>
      </x:c>
      <x:c r="F276" s="15" t="str">
        <x:v>Lucknow</x:v>
      </x:c>
      <x:c r="G276" s="15" t="str">
        <x:v>Delivered</x:v>
      </x:c>
      <x:c r="H276" s="15" t="str">
        <x:v>Online</x:v>
      </x:c>
    </x:row>
    <x:row r="277">
      <x:c r="A277" s="15" t="str">
        <x:v>ORD00276</x:v>
      </x:c>
      <x:c r="B277" s="15" t="n">
        <x:v>45854</x:v>
      </x:c>
      <x:c r="C277" s="15" t="str">
        <x:v>CUST0046</x:v>
      </x:c>
      <x:c r="D277" s="15" t="str">
        <x:v>REP012</x:v>
      </x:c>
      <x:c r="E277" s="15" t="str">
        <x:v>East</x:v>
      </x:c>
      <x:c r="F277" s="15" t="str">
        <x:v>Bhubaneswar</x:v>
      </x:c>
      <x:c r="G277" s="15" t="str">
        <x:v>Delivered</x:v>
      </x:c>
      <x:c r="H277" s="15" t="str">
        <x:v>Distributor</x:v>
      </x:c>
    </x:row>
    <x:row r="278">
      <x:c r="A278" s="15" t="str">
        <x:v>ORD00277</x:v>
      </x:c>
      <x:c r="B278" s="15" t="n">
        <x:v>45925</x:v>
      </x:c>
      <x:c r="C278" s="15" t="str">
        <x:v>CUST0076</x:v>
      </x:c>
      <x:c r="D278" s="15" t="str">
        <x:v>REP015</x:v>
      </x:c>
      <x:c r="E278" s="15" t="str">
        <x:v>North</x:v>
      </x:c>
      <x:c r="F278" s="15" t="str">
        <x:v>Jaipur</x:v>
      </x:c>
      <x:c r="G278" s="15" t="str">
        <x:v>Pending</x:v>
      </x:c>
      <x:c r="H278" s="15" t="str">
        <x:v>Distributor</x:v>
      </x:c>
    </x:row>
    <x:row r="279">
      <x:c r="A279" s="15" t="str">
        <x:v>ORD00278</x:v>
      </x:c>
      <x:c r="B279" s="15" t="n">
        <x:v>45837</x:v>
      </x:c>
      <x:c r="C279" s="15" t="str">
        <x:v>CUST0039</x:v>
      </x:c>
      <x:c r="D279" s="15" t="str">
        <x:v>REP010</x:v>
      </x:c>
      <x:c r="E279" s="15" t="str">
        <x:v>West</x:v>
      </x:c>
      <x:c r="F279" s="15" t="str">
        <x:v>Pune</x:v>
      </x:c>
      <x:c r="G279" s="15" t="str">
        <x:v>Delivered</x:v>
      </x:c>
      <x:c r="H279" s="15" t="str">
        <x:v>Direct Sales</x:v>
      </x:c>
    </x:row>
    <x:row r="280">
      <x:c r="A280" s="15" t="str">
        <x:v>ORD00279</x:v>
      </x:c>
      <x:c r="B280" s="15" t="n">
        <x:v>45957</x:v>
      </x:c>
      <x:c r="C280" s="15" t="str">
        <x:v>CUST0060</x:v>
      </x:c>
      <x:c r="D280" s="15" t="str">
        <x:v>REP016</x:v>
      </x:c>
      <x:c r="E280" s="15" t="str">
        <x:v>East</x:v>
      </x:c>
      <x:c r="F280" s="15" t="str">
        <x:v>Kolkata</x:v>
      </x:c>
      <x:c r="G280" s="15" t="str">
        <x:v>Delivered</x:v>
      </x:c>
      <x:c r="H280" s="15" t="str">
        <x:v>Direct Sales</x:v>
      </x:c>
    </x:row>
    <x:row r="281">
      <x:c r="A281" s="15" t="str">
        <x:v>ORD00280</x:v>
      </x:c>
      <x:c r="B281" s="15" t="n">
        <x:v>45757</x:v>
      </x:c>
      <x:c r="C281" s="15" t="str">
        <x:v>CUST0094</x:v>
      </x:c>
      <x:c r="D281" s="15" t="str">
        <x:v>REP016</x:v>
      </x:c>
      <x:c r="E281" s="15" t="str">
        <x:v>East</x:v>
      </x:c>
      <x:c r="F281" s="15" t="str">
        <x:v>Bhubaneswar</x:v>
      </x:c>
      <x:c r="G281" s="15" t="str">
        <x:v>Delivered</x:v>
      </x:c>
      <x:c r="H281" s="15" t="str">
        <x:v>Direct Sales</x:v>
      </x:c>
    </x:row>
    <x:row r="282">
      <x:c r="A282" s="15" t="str">
        <x:v>ORD00281</x:v>
      </x:c>
      <x:c r="B282" s="15" t="n">
        <x:v>45781</x:v>
      </x:c>
      <x:c r="C282" s="15" t="str">
        <x:v>CUST0087</x:v>
      </x:c>
      <x:c r="D282" s="15" t="str">
        <x:v>REP005</x:v>
      </x:c>
      <x:c r="E282" s="15" t="str">
        <x:v>South</x:v>
      </x:c>
      <x:c r="F282" s="15" t="str">
        <x:v>Chennai</x:v>
      </x:c>
      <x:c r="G282" s="15" t="str">
        <x:v>Delivered</x:v>
      </x:c>
      <x:c r="H282" s="15" t="str">
        <x:v>Direct Sales</x:v>
      </x:c>
    </x:row>
    <x:row r="283">
      <x:c r="A283" s="15" t="str">
        <x:v>ORD00282</x:v>
      </x:c>
      <x:c r="B283" s="15" t="n">
        <x:v>46007</x:v>
      </x:c>
      <x:c r="C283" s="15" t="str">
        <x:v>CUST0003</x:v>
      </x:c>
      <x:c r="D283" s="15" t="str">
        <x:v>REP006</x:v>
      </x:c>
      <x:c r="E283" s="15" t="str">
        <x:v>West</x:v>
      </x:c>
      <x:c r="F283" s="15" t="str">
        <x:v>Ahmedabad</x:v>
      </x:c>
      <x:c r="G283" s="15" t="str">
        <x:v>Delivered</x:v>
      </x:c>
      <x:c r="H283" s="15" t="str">
        <x:v>Online</x:v>
      </x:c>
    </x:row>
    <x:row r="284">
      <x:c r="A284" s="15" t="str">
        <x:v>ORD00283</x:v>
      </x:c>
      <x:c r="B284" s="15" t="n">
        <x:v>45786</x:v>
      </x:c>
      <x:c r="C284" s="15" t="str">
        <x:v>CUST0060</x:v>
      </x:c>
      <x:c r="D284" s="15" t="str">
        <x:v>REP004</x:v>
      </x:c>
      <x:c r="E284" s="15" t="str">
        <x:v>East</x:v>
      </x:c>
      <x:c r="F284" s="15" t="str">
        <x:v>Kolkata</x:v>
      </x:c>
      <x:c r="G284" s="15" t="str">
        <x:v>Delivered</x:v>
      </x:c>
      <x:c r="H284" s="15" t="str">
        <x:v>Distributor</x:v>
      </x:c>
    </x:row>
    <x:row r="285">
      <x:c r="A285" s="15" t="str">
        <x:v>ORD00284</x:v>
      </x:c>
      <x:c r="B285" s="15" t="n">
        <x:v>45988</x:v>
      </x:c>
      <x:c r="C285" s="15" t="str">
        <x:v>CUST0080</x:v>
      </x:c>
      <x:c r="D285" s="15" t="str">
        <x:v>REP007</x:v>
      </x:c>
      <x:c r="E285" s="15" t="str">
        <x:v>North</x:v>
      </x:c>
      <x:c r="F285" s="15" t="str">
        <x:v>Jaipur</x:v>
      </x:c>
      <x:c r="G285" s="15" t="str">
        <x:v>Delivered</x:v>
      </x:c>
      <x:c r="H285" s="15" t="str">
        <x:v>Online</x:v>
      </x:c>
    </x:row>
    <x:row r="286">
      <x:c r="A286" s="15" t="str">
        <x:v>ORD00285</x:v>
      </x:c>
      <x:c r="B286" s="15" t="n">
        <x:v>45952</x:v>
      </x:c>
      <x:c r="C286" s="15" t="str">
        <x:v>CUST0069</x:v>
      </x:c>
      <x:c r="D286" s="15" t="str">
        <x:v>REP003</x:v>
      </x:c>
      <x:c r="E286" s="15" t="str">
        <x:v>North</x:v>
      </x:c>
      <x:c r="F286" s="15" t="str">
        <x:v>Delhi</x:v>
      </x:c>
      <x:c r="G286" s="15" t="str">
        <x:v>Delivered</x:v>
      </x:c>
      <x:c r="H286" s="15" t="str">
        <x:v>Distributor</x:v>
      </x:c>
    </x:row>
    <x:row r="287">
      <x:c r="A287" s="15" t="str">
        <x:v>ORD00286</x:v>
      </x:c>
      <x:c r="B287" s="15" t="n">
        <x:v>46026</x:v>
      </x:c>
      <x:c r="C287" s="15" t="str">
        <x:v>CUST0092</x:v>
      </x:c>
      <x:c r="D287" s="15" t="str">
        <x:v>REP007</x:v>
      </x:c>
      <x:c r="E287" s="15" t="str">
        <x:v>North</x:v>
      </x:c>
      <x:c r="F287" s="15" t="str">
        <x:v>Delhi</x:v>
      </x:c>
      <x:c r="G287" s="15" t="str">
        <x:v>Delivered</x:v>
      </x:c>
      <x:c r="H287" s="15" t="str">
        <x:v>Online</x:v>
      </x:c>
    </x:row>
    <x:row r="288">
      <x:c r="A288" s="15" t="str">
        <x:v>ORD00287</x:v>
      </x:c>
      <x:c r="B288" s="15" t="n">
        <x:v>46061</x:v>
      </x:c>
      <x:c r="C288" s="15" t="str">
        <x:v>CUST0008</x:v>
      </x:c>
      <x:c r="D288" s="15" t="str">
        <x:v>REP005</x:v>
      </x:c>
      <x:c r="E288" s="15" t="str">
        <x:v>South</x:v>
      </x:c>
      <x:c r="F288" s="15" t="str">
        <x:v>Chennai</x:v>
      </x:c>
      <x:c r="G288" s="15" t="str">
        <x:v>Delivered</x:v>
      </x:c>
      <x:c r="H288" s="15" t="str">
        <x:v>Direct Sales</x:v>
      </x:c>
    </x:row>
    <x:row r="289">
      <x:c r="A289" s="15" t="str">
        <x:v>ORD00288</x:v>
      </x:c>
      <x:c r="B289" s="15" t="n">
        <x:v>45837</x:v>
      </x:c>
      <x:c r="C289" s="15" t="str">
        <x:v>CUST0013</x:v>
      </x:c>
      <x:c r="D289" s="15" t="str">
        <x:v>REP002</x:v>
      </x:c>
      <x:c r="E289" s="15" t="str">
        <x:v>West</x:v>
      </x:c>
      <x:c r="F289" s="15" t="str">
        <x:v>Ahmedabad</x:v>
      </x:c>
      <x:c r="G289" s="15" t="str">
        <x:v>Delivered</x:v>
      </x:c>
      <x:c r="H289" s="15" t="str">
        <x:v>Distributor</x:v>
      </x:c>
    </x:row>
    <x:row r="290">
      <x:c r="A290" s="15" t="str">
        <x:v>ORD00289</x:v>
      </x:c>
      <x:c r="B290" s="15" t="n">
        <x:v>46098</x:v>
      </x:c>
      <x:c r="C290" s="15" t="str">
        <x:v>CUST0014</x:v>
      </x:c>
      <x:c r="D290" s="15" t="str">
        <x:v>REP011</x:v>
      </x:c>
      <x:c r="E290" s="15" t="str">
        <x:v>North</x:v>
      </x:c>
      <x:c r="F290" s="15" t="str">
        <x:v>Lucknow</x:v>
      </x:c>
      <x:c r="G290" s="15" t="str">
        <x:v>Delivered</x:v>
      </x:c>
      <x:c r="H290" s="15" t="str">
        <x:v>Distributor</x:v>
      </x:c>
    </x:row>
    <x:row r="291">
      <x:c r="A291" s="15" t="str">
        <x:v>ORD00290</x:v>
      </x:c>
      <x:c r="B291" s="15" t="n">
        <x:v>46075</x:v>
      </x:c>
      <x:c r="C291" s="15" t="str">
        <x:v>CUST0078</x:v>
      </x:c>
      <x:c r="D291" s="15" t="str">
        <x:v>REP007</x:v>
      </x:c>
      <x:c r="E291" s="15" t="str">
        <x:v>North</x:v>
      </x:c>
      <x:c r="F291" s="15" t="str">
        <x:v>Jaipur</x:v>
      </x:c>
      <x:c r="G291" s="15" t="str">
        <x:v>Delivered</x:v>
      </x:c>
      <x:c r="H291" s="15" t="str">
        <x:v>Direct Sales</x:v>
      </x:c>
    </x:row>
    <x:row r="292">
      <x:c r="A292" s="15" t="str">
        <x:v>ORD00291</x:v>
      </x:c>
      <x:c r="B292" s="15" t="n">
        <x:v>46049</x:v>
      </x:c>
      <x:c r="C292" s="15" t="str">
        <x:v>CUST0077</x:v>
      </x:c>
      <x:c r="D292" s="15" t="str">
        <x:v>REP010</x:v>
      </x:c>
      <x:c r="E292" s="15" t="str">
        <x:v>West</x:v>
      </x:c>
      <x:c r="F292" s="15" t="str">
        <x:v>Pune</x:v>
      </x:c>
      <x:c r="G292" s="15" t="str">
        <x:v>Delivered</x:v>
      </x:c>
      <x:c r="H292" s="15" t="str">
        <x:v>Online</x:v>
      </x:c>
    </x:row>
    <x:row r="293">
      <x:c r="A293" s="15" t="str">
        <x:v>ORD00292</x:v>
      </x:c>
      <x:c r="B293" s="15" t="n">
        <x:v>46032</x:v>
      </x:c>
      <x:c r="C293" s="15" t="str">
        <x:v>CUST0080</x:v>
      </x:c>
      <x:c r="D293" s="15" t="str">
        <x:v>REP007</x:v>
      </x:c>
      <x:c r="E293" s="15" t="str">
        <x:v>North</x:v>
      </x:c>
      <x:c r="F293" s="15" t="str">
        <x:v>Jaipur</x:v>
      </x:c>
      <x:c r="G293" s="15" t="str">
        <x:v>Delivered</x:v>
      </x:c>
      <x:c r="H293" s="15" t="str">
        <x:v>Distributor</x:v>
      </x:c>
    </x:row>
    <x:row r="294">
      <x:c r="A294" s="15" t="str">
        <x:v>ORD00293</x:v>
      </x:c>
      <x:c r="B294" s="15" t="n">
        <x:v>45750</x:v>
      </x:c>
      <x:c r="C294" s="15" t="str">
        <x:v>CUST0008</x:v>
      </x:c>
      <x:c r="D294" s="15" t="str">
        <x:v>REP013</x:v>
      </x:c>
      <x:c r="E294" s="15" t="str">
        <x:v>South</x:v>
      </x:c>
      <x:c r="F294" s="15" t="str">
        <x:v>Chennai</x:v>
      </x:c>
      <x:c r="G294" s="15" t="str">
        <x:v>Delivered</x:v>
      </x:c>
      <x:c r="H294" s="15" t="str">
        <x:v>Direct Sales</x:v>
      </x:c>
    </x:row>
    <x:row r="295">
      <x:c r="A295" s="15" t="str">
        <x:v>ORD00294</x:v>
      </x:c>
      <x:c r="B295" s="15" t="n">
        <x:v>46137</x:v>
      </x:c>
      <x:c r="C295" s="15" t="str">
        <x:v>CUST0005</x:v>
      </x:c>
      <x:c r="D295" s="15" t="str">
        <x:v>REP010</x:v>
      </x:c>
      <x:c r="E295" s="15" t="str">
        <x:v>West</x:v>
      </x:c>
      <x:c r="F295" s="15" t="str">
        <x:v>Mumbai</x:v>
      </x:c>
      <x:c r="G295" s="15" t="str">
        <x:v>Pending</x:v>
      </x:c>
      <x:c r="H295" s="15" t="str">
        <x:v>Direct Sales</x:v>
      </x:c>
    </x:row>
    <x:row r="296">
      <x:c r="A296" s="15" t="str">
        <x:v>ORD00295</x:v>
      </x:c>
      <x:c r="B296" s="15" t="n">
        <x:v>45934</x:v>
      </x:c>
      <x:c r="C296" s="15" t="str">
        <x:v>CUST0020</x:v>
      </x:c>
      <x:c r="D296" s="15" t="str">
        <x:v>REP006</x:v>
      </x:c>
      <x:c r="E296" s="15" t="str">
        <x:v>West</x:v>
      </x:c>
      <x:c r="F296" s="15" t="str">
        <x:v>Mumbai</x:v>
      </x:c>
      <x:c r="G296" s="15" t="str">
        <x:v>Delivered</x:v>
      </x:c>
      <x:c r="H296" s="15" t="str">
        <x:v>Online</x:v>
      </x:c>
    </x:row>
    <x:row r="297">
      <x:c r="A297" s="15" t="str">
        <x:v>ORD00296</x:v>
      </x:c>
      <x:c r="B297" s="15" t="n">
        <x:v>46051</x:v>
      </x:c>
      <x:c r="C297" s="15" t="str">
        <x:v>CUST0078</x:v>
      </x:c>
      <x:c r="D297" s="15" t="str">
        <x:v>REP003</x:v>
      </x:c>
      <x:c r="E297" s="15" t="str">
        <x:v>North</x:v>
      </x:c>
      <x:c r="F297" s="15" t="str">
        <x:v>Jaipur</x:v>
      </x:c>
      <x:c r="G297" s="15" t="str">
        <x:v>Delivered</x:v>
      </x:c>
      <x:c r="H297" s="15" t="str">
        <x:v>Distributor</x:v>
      </x:c>
    </x:row>
    <x:row r="298">
      <x:c r="A298" s="15" t="str">
        <x:v>ORD00297</x:v>
      </x:c>
      <x:c r="B298" s="15" t="n">
        <x:v>45829</x:v>
      </x:c>
      <x:c r="C298" s="15" t="str">
        <x:v>CUST0089</x:v>
      </x:c>
      <x:c r="D298" s="15" t="str">
        <x:v>REP013</x:v>
      </x:c>
      <x:c r="E298" s="15" t="str">
        <x:v>South</x:v>
      </x:c>
      <x:c r="F298" s="15" t="str">
        <x:v>Bengaluru</x:v>
      </x:c>
      <x:c r="G298" s="15" t="str">
        <x:v>Delivered</x:v>
      </x:c>
      <x:c r="H298" s="15" t="str">
        <x:v>Distributor</x:v>
      </x:c>
    </x:row>
    <x:row r="299">
      <x:c r="A299" s="15" t="str">
        <x:v>ORD00298</x:v>
      </x:c>
      <x:c r="B299" s="15" t="n">
        <x:v>45681</x:v>
      </x:c>
      <x:c r="C299" s="15" t="str">
        <x:v>CUST0085</x:v>
      </x:c>
      <x:c r="D299" s="15" t="str">
        <x:v>REP002</x:v>
      </x:c>
      <x:c r="E299" s="15" t="str">
        <x:v>West</x:v>
      </x:c>
      <x:c r="F299" s="15" t="str">
        <x:v>Pune</x:v>
      </x:c>
      <x:c r="G299" s="15" t="str">
        <x:v>Delivered</x:v>
      </x:c>
      <x:c r="H299" s="15" t="str">
        <x:v>Direct Sales</x:v>
      </x:c>
    </x:row>
    <x:row r="300">
      <x:c r="A300" s="15" t="str">
        <x:v>ORD00299</x:v>
      </x:c>
      <x:c r="B300" s="15" t="n">
        <x:v>45769</x:v>
      </x:c>
      <x:c r="C300" s="15" t="str">
        <x:v>CUST0052</x:v>
      </x:c>
      <x:c r="D300" s="15" t="str">
        <x:v>REP002</x:v>
      </x:c>
      <x:c r="E300" s="15" t="str">
        <x:v>West</x:v>
      </x:c>
      <x:c r="F300" s="15" t="str">
        <x:v>Mumbai</x:v>
      </x:c>
      <x:c r="G300" s="15" t="str">
        <x:v>Delivered</x:v>
      </x:c>
      <x:c r="H300" s="15" t="str">
        <x:v>Direct Sales</x:v>
      </x:c>
    </x:row>
    <x:row r="301">
      <x:c r="A301" s="15" t="str">
        <x:v>ORD00300</x:v>
      </x:c>
      <x:c r="B301" s="15" t="n">
        <x:v>45749</x:v>
      </x:c>
      <x:c r="C301" s="15" t="str">
        <x:v>CUST0093</x:v>
      </x:c>
      <x:c r="D301" s="15" t="str">
        <x:v>REP009</x:v>
      </x:c>
      <x:c r="E301" s="15" t="str">
        <x:v>South</x:v>
      </x:c>
      <x:c r="F301" s="15" t="str">
        <x:v>Chennai</x:v>
      </x:c>
      <x:c r="G301" s="15" t="str">
        <x:v>Pending</x:v>
      </x:c>
      <x:c r="H301" s="15" t="str">
        <x:v>Direct Sales</x:v>
      </x:c>
    </x:row>
    <x:row r="302">
      <x:c r="A302" s="15" t="str">
        <x:v>ORD00301</x:v>
      </x:c>
      <x:c r="B302" s="15" t="n">
        <x:v>46200</x:v>
      </x:c>
      <x:c r="C302" s="15" t="str">
        <x:v>CUST0056</x:v>
      </x:c>
      <x:c r="D302" s="15" t="str">
        <x:v>REP014</x:v>
      </x:c>
      <x:c r="E302" s="15" t="str">
        <x:v>West</x:v>
      </x:c>
      <x:c r="F302" s="15" t="str">
        <x:v>Mumbai</x:v>
      </x:c>
      <x:c r="G302" s="15" t="str">
        <x:v>Cancelled</x:v>
      </x:c>
      <x:c r="H302" s="15" t="str">
        <x:v>Online</x:v>
      </x:c>
    </x:row>
    <x:row r="303">
      <x:c r="A303" s="15" t="str">
        <x:v>ORD00302</x:v>
      </x:c>
      <x:c r="B303" s="15" t="n">
        <x:v>45857</x:v>
      </x:c>
      <x:c r="C303" s="15" t="str">
        <x:v>CUST0016</x:v>
      </x:c>
      <x:c r="D303" s="15" t="str">
        <x:v>REP007</x:v>
      </x:c>
      <x:c r="E303" s="15" t="str">
        <x:v>North</x:v>
      </x:c>
      <x:c r="F303" s="15" t="str">
        <x:v>Lucknow</x:v>
      </x:c>
      <x:c r="G303" s="15" t="str">
        <x:v>Cancelled</x:v>
      </x:c>
      <x:c r="H303" s="15" t="str">
        <x:v>Distributor</x:v>
      </x:c>
    </x:row>
    <x:row r="304">
      <x:c r="A304" s="15" t="str">
        <x:v>ORD00303</x:v>
      </x:c>
      <x:c r="B304" s="15" t="n">
        <x:v>45954</x:v>
      </x:c>
      <x:c r="C304" s="15" t="str">
        <x:v>CUST0043</x:v>
      </x:c>
      <x:c r="D304" s="15" t="str">
        <x:v>REP008</x:v>
      </x:c>
      <x:c r="E304" s="15" t="str">
        <x:v>East</x:v>
      </x:c>
      <x:c r="F304" s="15" t="str">
        <x:v>Bhubaneswar</x:v>
      </x:c>
      <x:c r="G304" s="15" t="str">
        <x:v>Delivered</x:v>
      </x:c>
      <x:c r="H304" s="15" t="str">
        <x:v>Online</x:v>
      </x:c>
    </x:row>
    <x:row r="305">
      <x:c r="A305" s="15" t="str">
        <x:v>ORD00304</x:v>
      </x:c>
      <x:c r="B305" s="15" t="n">
        <x:v>45835</x:v>
      </x:c>
      <x:c r="C305" s="15" t="str">
        <x:v>CUST0006</x:v>
      </x:c>
      <x:c r="D305" s="15" t="str">
        <x:v>REP005</x:v>
      </x:c>
      <x:c r="E305" s="15" t="str">
        <x:v>South</x:v>
      </x:c>
      <x:c r="F305" s="15" t="str">
        <x:v>Chennai</x:v>
      </x:c>
      <x:c r="G305" s="15" t="str">
        <x:v>Delivered</x:v>
      </x:c>
      <x:c r="H305" s="15" t="str">
        <x:v>Online</x:v>
      </x:c>
    </x:row>
    <x:row r="306">
      <x:c r="A306" s="15" t="str">
        <x:v>ORD00305</x:v>
      </x:c>
      <x:c r="B306" s="15" t="n">
        <x:v>46127</x:v>
      </x:c>
      <x:c r="C306" s="15" t="str">
        <x:v>CUST0098</x:v>
      </x:c>
      <x:c r="D306" s="15" t="str">
        <x:v>REP014</x:v>
      </x:c>
      <x:c r="E306" s="15" t="str">
        <x:v>West</x:v>
      </x:c>
      <x:c r="F306" s="15" t="str">
        <x:v>Pune</x:v>
      </x:c>
      <x:c r="G306" s="15" t="str">
        <x:v>Delivered</x:v>
      </x:c>
      <x:c r="H306" s="15" t="str">
        <x:v>Direct Sales</x:v>
      </x:c>
    </x:row>
    <x:row r="307">
      <x:c r="A307" s="15" t="str">
        <x:v>ORD00306</x:v>
      </x:c>
      <x:c r="B307" s="15" t="n">
        <x:v>46032</x:v>
      </x:c>
      <x:c r="C307" s="15" t="str">
        <x:v>CUST0025</x:v>
      </x:c>
      <x:c r="D307" s="15" t="str">
        <x:v>REP011</x:v>
      </x:c>
      <x:c r="E307" s="15" t="str">
        <x:v>North</x:v>
      </x:c>
      <x:c r="F307" s="15" t="str">
        <x:v>Lucknow</x:v>
      </x:c>
      <x:c r="G307" s="15" t="str">
        <x:v>Delivered</x:v>
      </x:c>
      <x:c r="H307" s="15" t="str">
        <x:v>Direct Sales</x:v>
      </x:c>
    </x:row>
    <x:row r="308">
      <x:c r="A308" s="15" t="str">
        <x:v>ORD00307</x:v>
      </x:c>
      <x:c r="B308" s="15" t="n">
        <x:v>46089</x:v>
      </x:c>
      <x:c r="C308" s="15" t="str">
        <x:v>CUST0036</x:v>
      </x:c>
      <x:c r="D308" s="15" t="str">
        <x:v>REP014</x:v>
      </x:c>
      <x:c r="E308" s="15" t="str">
        <x:v>West</x:v>
      </x:c>
      <x:c r="F308" s="15" t="str">
        <x:v>Ahmedabad</x:v>
      </x:c>
      <x:c r="G308" s="15" t="str">
        <x:v>Pending</x:v>
      </x:c>
      <x:c r="H308" s="15" t="str">
        <x:v>Direct Sales</x:v>
      </x:c>
    </x:row>
    <x:row r="309">
      <x:c r="A309" s="15" t="str">
        <x:v>ORD00308</x:v>
      </x:c>
      <x:c r="B309" s="15" t="n">
        <x:v>46030</x:v>
      </x:c>
      <x:c r="C309" s="15" t="str">
        <x:v>CUST0065</x:v>
      </x:c>
      <x:c r="D309" s="15" t="str">
        <x:v>REP007</x:v>
      </x:c>
      <x:c r="E309" s="15" t="str">
        <x:v>North</x:v>
      </x:c>
      <x:c r="F309" s="15" t="str">
        <x:v>Jaipur</x:v>
      </x:c>
      <x:c r="G309" s="15" t="str">
        <x:v>Delivered</x:v>
      </x:c>
      <x:c r="H309" s="15" t="str">
        <x:v>Online</x:v>
      </x:c>
    </x:row>
    <x:row r="310">
      <x:c r="A310" s="15" t="str">
        <x:v>ORD00309</x:v>
      </x:c>
      <x:c r="B310" s="15" t="n">
        <x:v>45706</x:v>
      </x:c>
      <x:c r="C310" s="15" t="str">
        <x:v>CUST0100</x:v>
      </x:c>
      <x:c r="D310" s="15" t="str">
        <x:v>REP010</x:v>
      </x:c>
      <x:c r="E310" s="15" t="str">
        <x:v>West</x:v>
      </x:c>
      <x:c r="F310" s="15" t="str">
        <x:v>Mumbai</x:v>
      </x:c>
      <x:c r="G310" s="15" t="str">
        <x:v>Delivered</x:v>
      </x:c>
      <x:c r="H310" s="15" t="str">
        <x:v>Distributor</x:v>
      </x:c>
    </x:row>
    <x:row r="311">
      <x:c r="A311" s="15" t="str">
        <x:v>ORD00310</x:v>
      </x:c>
      <x:c r="B311" s="15" t="n">
        <x:v>46063</x:v>
      </x:c>
      <x:c r="C311" s="15" t="str">
        <x:v>CUST0014</x:v>
      </x:c>
      <x:c r="D311" s="15" t="str">
        <x:v>REP011</x:v>
      </x:c>
      <x:c r="E311" s="15" t="str">
        <x:v>North</x:v>
      </x:c>
      <x:c r="F311" s="15" t="str">
        <x:v>Lucknow</x:v>
      </x:c>
      <x:c r="G311" s="15" t="str">
        <x:v>Delivered</x:v>
      </x:c>
      <x:c r="H311" s="15" t="str">
        <x:v>Direct Sales</x:v>
      </x:c>
    </x:row>
    <x:row r="312">
      <x:c r="A312" s="15" t="str">
        <x:v>ORD00311</x:v>
      </x:c>
      <x:c r="B312" s="15" t="n">
        <x:v>45812</x:v>
      </x:c>
      <x:c r="C312" s="15" t="str">
        <x:v>CUST0014</x:v>
      </x:c>
      <x:c r="D312" s="15" t="str">
        <x:v>REP003</x:v>
      </x:c>
      <x:c r="E312" s="15" t="str">
        <x:v>North</x:v>
      </x:c>
      <x:c r="F312" s="15" t="str">
        <x:v>Lucknow</x:v>
      </x:c>
      <x:c r="G312" s="15" t="str">
        <x:v>Delivered</x:v>
      </x:c>
      <x:c r="H312" s="15" t="str">
        <x:v>Direct Sales</x:v>
      </x:c>
    </x:row>
    <x:row r="313">
      <x:c r="A313" s="15" t="str">
        <x:v>ORD00312</x:v>
      </x:c>
      <x:c r="B313" s="15" t="n">
        <x:v>45954</x:v>
      </x:c>
      <x:c r="C313" s="15" t="str">
        <x:v>CUST0030</x:v>
      </x:c>
      <x:c r="D313" s="15" t="str">
        <x:v>REP015</x:v>
      </x:c>
      <x:c r="E313" s="15" t="str">
        <x:v>North</x:v>
      </x:c>
      <x:c r="F313" s="15" t="str">
        <x:v>Jaipur</x:v>
      </x:c>
      <x:c r="G313" s="15" t="str">
        <x:v>Delivered</x:v>
      </x:c>
      <x:c r="H313" s="15" t="str">
        <x:v>Direct Sales</x:v>
      </x:c>
    </x:row>
    <x:row r="314">
      <x:c r="A314" s="15" t="str">
        <x:v>ORD00313</x:v>
      </x:c>
      <x:c r="B314" s="15" t="n">
        <x:v>46169</x:v>
      </x:c>
      <x:c r="C314" s="15" t="str">
        <x:v>CUST0014</x:v>
      </x:c>
      <x:c r="D314" s="15" t="str">
        <x:v>REP011</x:v>
      </x:c>
      <x:c r="E314" s="15" t="str">
        <x:v>North</x:v>
      </x:c>
      <x:c r="F314" s="15" t="str">
        <x:v>Lucknow</x:v>
      </x:c>
      <x:c r="G314" s="15" t="str">
        <x:v>Delivered</x:v>
      </x:c>
      <x:c r="H314" s="15" t="str">
        <x:v>Direct Sales</x:v>
      </x:c>
    </x:row>
    <x:row r="315">
      <x:c r="A315" s="15" t="str">
        <x:v>ORD00314</x:v>
      </x:c>
      <x:c r="B315" s="15" t="n">
        <x:v>46144</x:v>
      </x:c>
      <x:c r="C315" s="15" t="str">
        <x:v>CUST0078</x:v>
      </x:c>
      <x:c r="D315" s="15" t="str">
        <x:v>REP003</x:v>
      </x:c>
      <x:c r="E315" s="15" t="str">
        <x:v>North</x:v>
      </x:c>
      <x:c r="F315" s="15" t="str">
        <x:v>Jaipur</x:v>
      </x:c>
      <x:c r="G315" s="15" t="str">
        <x:v>Delivered</x:v>
      </x:c>
      <x:c r="H315" s="15" t="str">
        <x:v>Online</x:v>
      </x:c>
    </x:row>
    <x:row r="316">
      <x:c r="A316" s="15" t="str">
        <x:v>ORD00315</x:v>
      </x:c>
      <x:c r="B316" s="15" t="n">
        <x:v>46045</x:v>
      </x:c>
      <x:c r="C316" s="15" t="str">
        <x:v>CUST0016</x:v>
      </x:c>
      <x:c r="D316" s="15" t="str">
        <x:v>REP007</x:v>
      </x:c>
      <x:c r="E316" s="15" t="str">
        <x:v>North</x:v>
      </x:c>
      <x:c r="F316" s="15" t="str">
        <x:v>Lucknow</x:v>
      </x:c>
      <x:c r="G316" s="15" t="str">
        <x:v>Delivered</x:v>
      </x:c>
      <x:c r="H316" s="15" t="str">
        <x:v>Direct Sales</x:v>
      </x:c>
    </x:row>
    <x:row r="317">
      <x:c r="A317" s="15" t="str">
        <x:v>ORD00316</x:v>
      </x:c>
      <x:c r="B317" s="15" t="n">
        <x:v>45976</x:v>
      </x:c>
      <x:c r="C317" s="15" t="str">
        <x:v>CUST0093</x:v>
      </x:c>
      <x:c r="D317" s="15" t="str">
        <x:v>REP009</x:v>
      </x:c>
      <x:c r="E317" s="15" t="str">
        <x:v>South</x:v>
      </x:c>
      <x:c r="F317" s="15" t="str">
        <x:v>Chennai</x:v>
      </x:c>
      <x:c r="G317" s="15" t="str">
        <x:v>Delivered</x:v>
      </x:c>
      <x:c r="H317" s="15" t="str">
        <x:v>Online</x:v>
      </x:c>
    </x:row>
    <x:row r="318">
      <x:c r="A318" s="15" t="str">
        <x:v>ORD00317</x:v>
      </x:c>
      <x:c r="B318" s="15" t="n">
        <x:v>45740</x:v>
      </x:c>
      <x:c r="C318" s="15" t="str">
        <x:v>CUST0034</x:v>
      </x:c>
      <x:c r="D318" s="15" t="str">
        <x:v>REP008</x:v>
      </x:c>
      <x:c r="E318" s="15" t="str">
        <x:v>East</x:v>
      </x:c>
      <x:c r="F318" s="15" t="str">
        <x:v>Bhubaneswar</x:v>
      </x:c>
      <x:c r="G318" s="15" t="str">
        <x:v>Cancelled</x:v>
      </x:c>
      <x:c r="H318" s="15" t="str">
        <x:v>Online</x:v>
      </x:c>
    </x:row>
    <x:row r="319">
      <x:c r="A319" s="15" t="str">
        <x:v>ORD00318</x:v>
      </x:c>
      <x:c r="B319" s="15" t="n">
        <x:v>45997</x:v>
      </x:c>
      <x:c r="C319" s="15" t="str">
        <x:v>CUST0051</x:v>
      </x:c>
      <x:c r="D319" s="15" t="str">
        <x:v>REP008</x:v>
      </x:c>
      <x:c r="E319" s="15" t="str">
        <x:v>East</x:v>
      </x:c>
      <x:c r="F319" s="15" t="str">
        <x:v>Kolkata</x:v>
      </x:c>
      <x:c r="G319" s="15" t="str">
        <x:v>Delivered</x:v>
      </x:c>
      <x:c r="H319" s="15" t="str">
        <x:v>Distributor</x:v>
      </x:c>
    </x:row>
    <x:row r="320">
      <x:c r="A320" s="15" t="str">
        <x:v>ORD00319</x:v>
      </x:c>
      <x:c r="B320" s="15" t="n">
        <x:v>45735</x:v>
      </x:c>
      <x:c r="C320" s="15" t="str">
        <x:v>CUST0057</x:v>
      </x:c>
      <x:c r="D320" s="15" t="str">
        <x:v>REP003</x:v>
      </x:c>
      <x:c r="E320" s="15" t="str">
        <x:v>North</x:v>
      </x:c>
      <x:c r="F320" s="15" t="str">
        <x:v>Jaipur</x:v>
      </x:c>
      <x:c r="G320" s="15" t="str">
        <x:v>Delivered</x:v>
      </x:c>
      <x:c r="H320" s="15" t="str">
        <x:v>Distributor</x:v>
      </x:c>
    </x:row>
    <x:row r="321">
      <x:c r="A321" s="15" t="str">
        <x:v>ORD00320</x:v>
      </x:c>
      <x:c r="B321" s="15" t="n">
        <x:v>46155</x:v>
      </x:c>
      <x:c r="C321" s="15" t="str">
        <x:v>CUST0025</x:v>
      </x:c>
      <x:c r="D321" s="15" t="str">
        <x:v>REP007</x:v>
      </x:c>
      <x:c r="E321" s="15" t="str">
        <x:v>North</x:v>
      </x:c>
      <x:c r="F321" s="15" t="str">
        <x:v>Lucknow</x:v>
      </x:c>
      <x:c r="G321" s="15" t="str">
        <x:v>Delivered</x:v>
      </x:c>
      <x:c r="H321" s="15" t="str">
        <x:v>Online</x:v>
      </x:c>
    </x:row>
    <x:row r="322">
      <x:c r="A322" s="15" t="str">
        <x:v>ORD00321</x:v>
      </x:c>
      <x:c r="B322" s="15" t="n">
        <x:v>46011</x:v>
      </x:c>
      <x:c r="C322" s="15" t="str">
        <x:v>CUST0056</x:v>
      </x:c>
      <x:c r="D322" s="15" t="str">
        <x:v>REP006</x:v>
      </x:c>
      <x:c r="E322" s="15" t="str">
        <x:v>West</x:v>
      </x:c>
      <x:c r="F322" s="15" t="str">
        <x:v>Mumbai</x:v>
      </x:c>
      <x:c r="G322" s="15" t="str">
        <x:v>Delivered</x:v>
      </x:c>
      <x:c r="H322" s="15" t="str">
        <x:v>Online</x:v>
      </x:c>
    </x:row>
    <x:row r="323">
      <x:c r="A323" s="15" t="str">
        <x:v>ORD00322</x:v>
      </x:c>
      <x:c r="B323" s="15" t="n">
        <x:v>45927</x:v>
      </x:c>
      <x:c r="C323" s="15" t="str">
        <x:v>CUST0040</x:v>
      </x:c>
      <x:c r="D323" s="15" t="str">
        <x:v>REP011</x:v>
      </x:c>
      <x:c r="E323" s="15" t="str">
        <x:v>North</x:v>
      </x:c>
      <x:c r="F323" s="15" t="str">
        <x:v>Delhi</x:v>
      </x:c>
      <x:c r="G323" s="15" t="str">
        <x:v>Delivered</x:v>
      </x:c>
      <x:c r="H323" s="15" t="str">
        <x:v>Direct Sales</x:v>
      </x:c>
    </x:row>
    <x:row r="324">
      <x:c r="A324" s="15" t="str">
        <x:v>ORD00323</x:v>
      </x:c>
      <x:c r="B324" s="15" t="n">
        <x:v>45813</x:v>
      </x:c>
      <x:c r="C324" s="15" t="str">
        <x:v>CUST0012</x:v>
      </x:c>
      <x:c r="D324" s="15" t="str">
        <x:v>REP016</x:v>
      </x:c>
      <x:c r="E324" s="15" t="str">
        <x:v>East</x:v>
      </x:c>
      <x:c r="F324" s="15" t="str">
        <x:v>Bhubaneswar</x:v>
      </x:c>
      <x:c r="G324" s="15" t="str">
        <x:v>Delivered</x:v>
      </x:c>
      <x:c r="H324" s="15" t="str">
        <x:v>Distributor</x:v>
      </x:c>
    </x:row>
    <x:row r="325">
      <x:c r="A325" s="15" t="str">
        <x:v>ORD00324</x:v>
      </x:c>
      <x:c r="B325" s="15" t="n">
        <x:v>46003</x:v>
      </x:c>
      <x:c r="C325" s="15" t="str">
        <x:v>CUST0044</x:v>
      </x:c>
      <x:c r="D325" s="15" t="str">
        <x:v>REP003</x:v>
      </x:c>
      <x:c r="E325" s="15" t="str">
        <x:v>North</x:v>
      </x:c>
      <x:c r="F325" s="15" t="str">
        <x:v>Lucknow</x:v>
      </x:c>
      <x:c r="G325" s="15" t="str">
        <x:v>Delivered</x:v>
      </x:c>
      <x:c r="H325" s="15" t="str">
        <x:v>Direct Sales</x:v>
      </x:c>
    </x:row>
    <x:row r="326">
      <x:c r="A326" s="15" t="str">
        <x:v>ORD00325</x:v>
      </x:c>
      <x:c r="B326" s="15" t="n">
        <x:v>45713</x:v>
      </x:c>
      <x:c r="C326" s="15" t="str">
        <x:v>CUST0046</x:v>
      </x:c>
      <x:c r="D326" s="15" t="str">
        <x:v>REP016</x:v>
      </x:c>
      <x:c r="E326" s="15" t="str">
        <x:v>East</x:v>
      </x:c>
      <x:c r="F326" s="15" t="str">
        <x:v>Bhubaneswar</x:v>
      </x:c>
      <x:c r="G326" s="15" t="str">
        <x:v>Pending</x:v>
      </x:c>
      <x:c r="H326" s="15" t="str">
        <x:v>Online</x:v>
      </x:c>
    </x:row>
    <x:row r="327">
      <x:c r="A327" s="15" t="str">
        <x:v>ORD00326</x:v>
      </x:c>
      <x:c r="B327" s="15" t="n">
        <x:v>46175</x:v>
      </x:c>
      <x:c r="C327" s="15" t="str">
        <x:v>CUST0043</x:v>
      </x:c>
      <x:c r="D327" s="15" t="str">
        <x:v>REP004</x:v>
      </x:c>
      <x:c r="E327" s="15" t="str">
        <x:v>East</x:v>
      </x:c>
      <x:c r="F327" s="15" t="str">
        <x:v>Bhubaneswar</x:v>
      </x:c>
      <x:c r="G327" s="15" t="str">
        <x:v>Delivered</x:v>
      </x:c>
      <x:c r="H327" s="15" t="str">
        <x:v>Direct Sales</x:v>
      </x:c>
    </x:row>
    <x:row r="328">
      <x:c r="A328" s="15" t="str">
        <x:v>ORD00327</x:v>
      </x:c>
      <x:c r="B328" s="15" t="n">
        <x:v>46044</x:v>
      </x:c>
      <x:c r="C328" s="15" t="str">
        <x:v>CUST0028</x:v>
      </x:c>
      <x:c r="D328" s="15" t="str">
        <x:v>REP011</x:v>
      </x:c>
      <x:c r="E328" s="15" t="str">
        <x:v>North</x:v>
      </x:c>
      <x:c r="F328" s="15" t="str">
        <x:v>Delhi</x:v>
      </x:c>
      <x:c r="G328" s="15" t="str">
        <x:v>Pending</x:v>
      </x:c>
      <x:c r="H328" s="15" t="str">
        <x:v>Online</x:v>
      </x:c>
    </x:row>
    <x:row r="329">
      <x:c r="A329" s="15" t="str">
        <x:v>ORD00328</x:v>
      </x:c>
      <x:c r="B329" s="15" t="n">
        <x:v>45822</x:v>
      </x:c>
      <x:c r="C329" s="15" t="str">
        <x:v>CUST0019</x:v>
      </x:c>
      <x:c r="D329" s="15" t="str">
        <x:v>REP015</x:v>
      </x:c>
      <x:c r="E329" s="15" t="str">
        <x:v>North</x:v>
      </x:c>
      <x:c r="F329" s="15" t="str">
        <x:v>Delhi</x:v>
      </x:c>
      <x:c r="G329" s="15" t="str">
        <x:v>Cancelled</x:v>
      </x:c>
      <x:c r="H329" s="15" t="str">
        <x:v>Online</x:v>
      </x:c>
    </x:row>
    <x:row r="330">
      <x:c r="A330" s="15" t="str">
        <x:v>ORD00329</x:v>
      </x:c>
      <x:c r="B330" s="15" t="n">
        <x:v>45686</x:v>
      </x:c>
      <x:c r="C330" s="15" t="str">
        <x:v>CUST0045</x:v>
      </x:c>
      <x:c r="D330" s="15" t="str">
        <x:v>REP015</x:v>
      </x:c>
      <x:c r="E330" s="15" t="str">
        <x:v>North</x:v>
      </x:c>
      <x:c r="F330" s="15" t="str">
        <x:v>Lucknow</x:v>
      </x:c>
      <x:c r="G330" s="15" t="str">
        <x:v>Delivered</x:v>
      </x:c>
      <x:c r="H330" s="15" t="str">
        <x:v>Direct Sales</x:v>
      </x:c>
    </x:row>
    <x:row r="331">
      <x:c r="A331" s="15" t="str">
        <x:v>ORD00330</x:v>
      </x:c>
      <x:c r="B331" s="15" t="n">
        <x:v>45688</x:v>
      </x:c>
      <x:c r="C331" s="15" t="str">
        <x:v>CUST0051</x:v>
      </x:c>
      <x:c r="D331" s="15" t="str">
        <x:v>REP004</x:v>
      </x:c>
      <x:c r="E331" s="15" t="str">
        <x:v>East</x:v>
      </x:c>
      <x:c r="F331" s="15" t="str">
        <x:v>Kolkata</x:v>
      </x:c>
      <x:c r="G331" s="15" t="str">
        <x:v>Delivered</x:v>
      </x:c>
      <x:c r="H331" s="15" t="str">
        <x:v>Online</x:v>
      </x:c>
    </x:row>
    <x:row r="332">
      <x:c r="A332" s="15" t="str">
        <x:v>ORD00331</x:v>
      </x:c>
      <x:c r="B332" s="15" t="n">
        <x:v>45661</x:v>
      </x:c>
      <x:c r="C332" s="15" t="str">
        <x:v>CUST0013</x:v>
      </x:c>
      <x:c r="D332" s="15" t="str">
        <x:v>REP010</x:v>
      </x:c>
      <x:c r="E332" s="15" t="str">
        <x:v>West</x:v>
      </x:c>
      <x:c r="F332" s="15" t="str">
        <x:v>Ahmedabad</x:v>
      </x:c>
      <x:c r="G332" s="15" t="str">
        <x:v>Delivered</x:v>
      </x:c>
      <x:c r="H332" s="15" t="str">
        <x:v>Distributor</x:v>
      </x:c>
    </x:row>
    <x:row r="333">
      <x:c r="A333" s="15" t="str">
        <x:v>ORD00332</x:v>
      </x:c>
      <x:c r="B333" s="15" t="n">
        <x:v>45860</x:v>
      </x:c>
      <x:c r="C333" s="15" t="str">
        <x:v>CUST0060</x:v>
      </x:c>
      <x:c r="D333" s="15" t="str">
        <x:v>REP004</x:v>
      </x:c>
      <x:c r="E333" s="15" t="str">
        <x:v>East</x:v>
      </x:c>
      <x:c r="F333" s="15" t="str">
        <x:v>Kolkata</x:v>
      </x:c>
      <x:c r="G333" s="15" t="str">
        <x:v>Pending</x:v>
      </x:c>
      <x:c r="H333" s="15" t="str">
        <x:v>Direct Sales</x:v>
      </x:c>
    </x:row>
    <x:row r="334">
      <x:c r="A334" s="15" t="str">
        <x:v>ORD00333</x:v>
      </x:c>
      <x:c r="B334" s="15" t="n">
        <x:v>45728</x:v>
      </x:c>
      <x:c r="C334" s="15" t="str">
        <x:v>CUST0033</x:v>
      </x:c>
      <x:c r="D334" s="15" t="str">
        <x:v>REP008</x:v>
      </x:c>
      <x:c r="E334" s="15" t="str">
        <x:v>East</x:v>
      </x:c>
      <x:c r="F334" s="15" t="str">
        <x:v>Guwahati</x:v>
      </x:c>
      <x:c r="G334" s="15" t="str">
        <x:v>Delivered</x:v>
      </x:c>
      <x:c r="H334" s="15" t="str">
        <x:v>Direct Sales</x:v>
      </x:c>
    </x:row>
    <x:row r="335">
      <x:c r="A335" s="15" t="str">
        <x:v>ORD00334</x:v>
      </x:c>
      <x:c r="B335" s="15" t="n">
        <x:v>46065</x:v>
      </x:c>
      <x:c r="C335" s="15" t="str">
        <x:v>CUST0045</x:v>
      </x:c>
      <x:c r="D335" s="15" t="str">
        <x:v>REP011</x:v>
      </x:c>
      <x:c r="E335" s="15" t="str">
        <x:v>North</x:v>
      </x:c>
      <x:c r="F335" s="15" t="str">
        <x:v>Lucknow</x:v>
      </x:c>
      <x:c r="G335" s="15" t="str">
        <x:v>Delivered</x:v>
      </x:c>
      <x:c r="H335" s="15" t="str">
        <x:v>Online</x:v>
      </x:c>
    </x:row>
    <x:row r="336">
      <x:c r="A336" s="15" t="str">
        <x:v>ORD00335</x:v>
      </x:c>
      <x:c r="B336" s="15" t="n">
        <x:v>45790</x:v>
      </x:c>
      <x:c r="C336" s="15" t="str">
        <x:v>CUST0017</x:v>
      </x:c>
      <x:c r="D336" s="15" t="str">
        <x:v>REP014</x:v>
      </x:c>
      <x:c r="E336" s="15" t="str">
        <x:v>West</x:v>
      </x:c>
      <x:c r="F336" s="15" t="str">
        <x:v>Pune</x:v>
      </x:c>
      <x:c r="G336" s="15" t="str">
        <x:v>Delivered</x:v>
      </x:c>
      <x:c r="H336" s="15" t="str">
        <x:v>Direct Sales</x:v>
      </x:c>
    </x:row>
    <x:row r="337">
      <x:c r="A337" s="15" t="str">
        <x:v>ORD00336</x:v>
      </x:c>
      <x:c r="B337" s="15" t="n">
        <x:v>45864</x:v>
      </x:c>
      <x:c r="C337" s="15" t="str">
        <x:v>CUST0073</x:v>
      </x:c>
      <x:c r="D337" s="15" t="str">
        <x:v>REP004</x:v>
      </x:c>
      <x:c r="E337" s="15" t="str">
        <x:v>East</x:v>
      </x:c>
      <x:c r="F337" s="15" t="str">
        <x:v>Guwahati</x:v>
      </x:c>
      <x:c r="G337" s="15" t="str">
        <x:v>Cancelled</x:v>
      </x:c>
      <x:c r="H337" s="15" t="str">
        <x:v>Online</x:v>
      </x:c>
    </x:row>
    <x:row r="338">
      <x:c r="A338" s="15" t="str">
        <x:v>ORD00337</x:v>
      </x:c>
      <x:c r="B338" s="15" t="n">
        <x:v>46001</x:v>
      </x:c>
      <x:c r="C338" s="15" t="str">
        <x:v>CUST0036</x:v>
      </x:c>
      <x:c r="D338" s="15" t="str">
        <x:v>REP006</x:v>
      </x:c>
      <x:c r="E338" s="15" t="str">
        <x:v>West</x:v>
      </x:c>
      <x:c r="F338" s="15" t="str">
        <x:v>Ahmedabad</x:v>
      </x:c>
      <x:c r="G338" s="15" t="str">
        <x:v>Delivered</x:v>
      </x:c>
      <x:c r="H338" s="15" t="str">
        <x:v>Direct Sales</x:v>
      </x:c>
    </x:row>
    <x:row r="339">
      <x:c r="A339" s="15" t="str">
        <x:v>ORD00338</x:v>
      </x:c>
      <x:c r="B339" s="15" t="n">
        <x:v>46179</x:v>
      </x:c>
      <x:c r="C339" s="15" t="str">
        <x:v>CUST0059</x:v>
      </x:c>
      <x:c r="D339" s="15" t="str">
        <x:v>REP014</x:v>
      </x:c>
      <x:c r="E339" s="15" t="str">
        <x:v>West</x:v>
      </x:c>
      <x:c r="F339" s="15" t="str">
        <x:v>Pune</x:v>
      </x:c>
      <x:c r="G339" s="15" t="str">
        <x:v>Cancelled</x:v>
      </x:c>
      <x:c r="H339" s="15" t="str">
        <x:v>Direct Sales</x:v>
      </x:c>
    </x:row>
    <x:row r="340">
      <x:c r="A340" s="15" t="str">
        <x:v>ORD00339</x:v>
      </x:c>
      <x:c r="B340" s="15" t="n">
        <x:v>46007</x:v>
      </x:c>
      <x:c r="C340" s="15" t="str">
        <x:v>CUST0093</x:v>
      </x:c>
      <x:c r="D340" s="15" t="str">
        <x:v>REP009</x:v>
      </x:c>
      <x:c r="E340" s="15" t="str">
        <x:v>South</x:v>
      </x:c>
      <x:c r="F340" s="15" t="str">
        <x:v>Chennai</x:v>
      </x:c>
      <x:c r="G340" s="15" t="str">
        <x:v>Delivered</x:v>
      </x:c>
      <x:c r="H340" s="15" t="str">
        <x:v>Direct Sales</x:v>
      </x:c>
    </x:row>
    <x:row r="341">
      <x:c r="A341" s="15" t="str">
        <x:v>ORD00340</x:v>
      </x:c>
      <x:c r="B341" s="15" t="n">
        <x:v>45790</x:v>
      </x:c>
      <x:c r="C341" s="15" t="str">
        <x:v>CUST0088</x:v>
      </x:c>
      <x:c r="D341" s="15" t="str">
        <x:v>REP002</x:v>
      </x:c>
      <x:c r="E341" s="15" t="str">
        <x:v>West</x:v>
      </x:c>
      <x:c r="F341" s="15" t="str">
        <x:v>Pune</x:v>
      </x:c>
      <x:c r="G341" s="15" t="str">
        <x:v>Delivered</x:v>
      </x:c>
      <x:c r="H341" s="15" t="str">
        <x:v>Distributor</x:v>
      </x:c>
    </x:row>
    <x:row r="342">
      <x:c r="A342" s="15" t="str">
        <x:v>ORD00341</x:v>
      </x:c>
      <x:c r="B342" s="15" t="n">
        <x:v>45834</x:v>
      </x:c>
      <x:c r="C342" s="15" t="str">
        <x:v>CUST0068</x:v>
      </x:c>
      <x:c r="D342" s="15" t="str">
        <x:v>REP012</x:v>
      </x:c>
      <x:c r="E342" s="15" t="str">
        <x:v>East</x:v>
      </x:c>
      <x:c r="F342" s="15" t="str">
        <x:v>Guwahati</x:v>
      </x:c>
      <x:c r="G342" s="15" t="str">
        <x:v>Delivered</x:v>
      </x:c>
      <x:c r="H342" s="15" t="str">
        <x:v>Online</x:v>
      </x:c>
    </x:row>
    <x:row r="343">
      <x:c r="A343" s="15" t="str">
        <x:v>ORD00342</x:v>
      </x:c>
      <x:c r="B343" s="15" t="n">
        <x:v>46199</x:v>
      </x:c>
      <x:c r="C343" s="15" t="str">
        <x:v>CUST0047</x:v>
      </x:c>
      <x:c r="D343" s="15" t="str">
        <x:v>REP016</x:v>
      </x:c>
      <x:c r="E343" s="15" t="str">
        <x:v>East</x:v>
      </x:c>
      <x:c r="F343" s="15" t="str">
        <x:v>Bhubaneswar</x:v>
      </x:c>
      <x:c r="G343" s="15" t="str">
        <x:v>Delivered</x:v>
      </x:c>
      <x:c r="H343" s="15" t="str">
        <x:v>Direct Sales</x:v>
      </x:c>
    </x:row>
    <x:row r="344">
      <x:c r="A344" s="15" t="str">
        <x:v>ORD00343</x:v>
      </x:c>
      <x:c r="B344" s="15" t="n">
        <x:v>45998</x:v>
      </x:c>
      <x:c r="C344" s="15" t="str">
        <x:v>CUST0043</x:v>
      </x:c>
      <x:c r="D344" s="15" t="str">
        <x:v>REP004</x:v>
      </x:c>
      <x:c r="E344" s="15" t="str">
        <x:v>East</x:v>
      </x:c>
      <x:c r="F344" s="15" t="str">
        <x:v>Bhubaneswar</x:v>
      </x:c>
      <x:c r="G344" s="15" t="str">
        <x:v>Delivered</x:v>
      </x:c>
      <x:c r="H344" s="15" t="str">
        <x:v>Distributor</x:v>
      </x:c>
    </x:row>
    <x:row r="345">
      <x:c r="A345" s="15" t="str">
        <x:v>ORD00344</x:v>
      </x:c>
      <x:c r="B345" s="15" t="n">
        <x:v>46122</x:v>
      </x:c>
      <x:c r="C345" s="15" t="str">
        <x:v>CUST0079</x:v>
      </x:c>
      <x:c r="D345" s="15" t="str">
        <x:v>REP014</x:v>
      </x:c>
      <x:c r="E345" s="15" t="str">
        <x:v>West</x:v>
      </x:c>
      <x:c r="F345" s="15" t="str">
        <x:v>Mumbai</x:v>
      </x:c>
      <x:c r="G345" s="15" t="str">
        <x:v>Delivered</x:v>
      </x:c>
      <x:c r="H345" s="15" t="str">
        <x:v>Online</x:v>
      </x:c>
    </x:row>
    <x:row r="346">
      <x:c r="A346" s="15" t="str">
        <x:v>ORD00345</x:v>
      </x:c>
      <x:c r="B346" s="15" t="n">
        <x:v>45911</x:v>
      </x:c>
      <x:c r="C346" s="15" t="str">
        <x:v>CUST0086</x:v>
      </x:c>
      <x:c r="D346" s="15" t="str">
        <x:v>REP016</x:v>
      </x:c>
      <x:c r="E346" s="15" t="str">
        <x:v>East</x:v>
      </x:c>
      <x:c r="F346" s="15" t="str">
        <x:v>Kolkata</x:v>
      </x:c>
      <x:c r="G346" s="15" t="str">
        <x:v>Delivered</x:v>
      </x:c>
      <x:c r="H346" s="15" t="str">
        <x:v>Distributor</x:v>
      </x:c>
    </x:row>
    <x:row r="347">
      <x:c r="A347" s="15" t="str">
        <x:v>ORD00346</x:v>
      </x:c>
      <x:c r="B347" s="15" t="n">
        <x:v>46035</x:v>
      </x:c>
      <x:c r="C347" s="15" t="str">
        <x:v>CUST0079</x:v>
      </x:c>
      <x:c r="D347" s="15" t="str">
        <x:v>REP010</x:v>
      </x:c>
      <x:c r="E347" s="15" t="str">
        <x:v>West</x:v>
      </x:c>
      <x:c r="F347" s="15" t="str">
        <x:v>Mumbai</x:v>
      </x:c>
      <x:c r="G347" s="15" t="str">
        <x:v>Delivered</x:v>
      </x:c>
      <x:c r="H347" s="15" t="str">
        <x:v>Distributor</x:v>
      </x:c>
    </x:row>
    <x:row r="348">
      <x:c r="A348" s="15" t="str">
        <x:v>ORD00347</x:v>
      </x:c>
      <x:c r="B348" s="15" t="n">
        <x:v>45905</x:v>
      </x:c>
      <x:c r="C348" s="15" t="str">
        <x:v>CUST0065</x:v>
      </x:c>
      <x:c r="D348" s="15" t="str">
        <x:v>REP007</x:v>
      </x:c>
      <x:c r="E348" s="15" t="str">
        <x:v>North</x:v>
      </x:c>
      <x:c r="F348" s="15" t="str">
        <x:v>Jaipur</x:v>
      </x:c>
      <x:c r="G348" s="15" t="str">
        <x:v>Delivered</x:v>
      </x:c>
      <x:c r="H348" s="15" t="str">
        <x:v>Online</x:v>
      </x:c>
    </x:row>
    <x:row r="349">
      <x:c r="A349" s="15" t="str">
        <x:v>ORD00348</x:v>
      </x:c>
      <x:c r="B349" s="15" t="n">
        <x:v>46063</x:v>
      </x:c>
      <x:c r="C349" s="15" t="str">
        <x:v>CUST0041</x:v>
      </x:c>
      <x:c r="D349" s="15" t="str">
        <x:v>REP012</x:v>
      </x:c>
      <x:c r="E349" s="15" t="str">
        <x:v>East</x:v>
      </x:c>
      <x:c r="F349" s="15" t="str">
        <x:v>Guwahati</x:v>
      </x:c>
      <x:c r="G349" s="15" t="str">
        <x:v>Delivered</x:v>
      </x:c>
      <x:c r="H349" s="15" t="str">
        <x:v>Online</x:v>
      </x:c>
    </x:row>
    <x:row r="350">
      <x:c r="A350" s="15" t="str">
        <x:v>ORD00349</x:v>
      </x:c>
      <x:c r="B350" s="15" t="n">
        <x:v>45919</x:v>
      </x:c>
      <x:c r="C350" s="15" t="str">
        <x:v>CUST0039</x:v>
      </x:c>
      <x:c r="D350" s="15" t="str">
        <x:v>REP006</x:v>
      </x:c>
      <x:c r="E350" s="15" t="str">
        <x:v>West</x:v>
      </x:c>
      <x:c r="F350" s="15" t="str">
        <x:v>Pune</x:v>
      </x:c>
      <x:c r="G350" s="15" t="str">
        <x:v>Delivered</x:v>
      </x:c>
      <x:c r="H350" s="15" t="str">
        <x:v>Direct Sales</x:v>
      </x:c>
    </x:row>
    <x:row r="351">
      <x:c r="A351" s="15" t="str">
        <x:v>ORD00350</x:v>
      </x:c>
      <x:c r="B351" s="15" t="n">
        <x:v>45825</x:v>
      </x:c>
      <x:c r="C351" s="15" t="str">
        <x:v>CUST0041</x:v>
      </x:c>
      <x:c r="D351" s="15" t="str">
        <x:v>REP008</x:v>
      </x:c>
      <x:c r="E351" s="15" t="str">
        <x:v>East</x:v>
      </x:c>
      <x:c r="F351" s="15" t="str">
        <x:v>Guwahati</x:v>
      </x:c>
      <x:c r="G351" s="15" t="str">
        <x:v>Delivered</x:v>
      </x:c>
      <x:c r="H351" s="15" t="str">
        <x:v>Direct Sales</x:v>
      </x:c>
    </x:row>
    <x:row r="352">
      <x:c r="A352" s="15" t="str">
        <x:v>ORD00351</x:v>
      </x:c>
      <x:c r="B352" s="15" t="n">
        <x:v>46054</x:v>
      </x:c>
      <x:c r="C352" s="15" t="str">
        <x:v>CUST0075</x:v>
      </x:c>
      <x:c r="D352" s="15" t="str">
        <x:v>REP013</x:v>
      </x:c>
      <x:c r="E352" s="15" t="str">
        <x:v>South</x:v>
      </x:c>
      <x:c r="F352" s="15" t="str">
        <x:v>Chennai</x:v>
      </x:c>
      <x:c r="G352" s="15" t="str">
        <x:v>Delivered</x:v>
      </x:c>
      <x:c r="H352" s="15" t="str">
        <x:v>Online</x:v>
      </x:c>
    </x:row>
    <x:row r="353">
      <x:c r="A353" s="15" t="str">
        <x:v>ORD00352</x:v>
      </x:c>
      <x:c r="B353" s="15" t="n">
        <x:v>46083</x:v>
      </x:c>
      <x:c r="C353" s="15" t="str">
        <x:v>CUST0050</x:v>
      </x:c>
      <x:c r="D353" s="15" t="str">
        <x:v>REP004</x:v>
      </x:c>
      <x:c r="E353" s="15" t="str">
        <x:v>East</x:v>
      </x:c>
      <x:c r="F353" s="15" t="str">
        <x:v>Kolkata</x:v>
      </x:c>
      <x:c r="G353" s="15" t="str">
        <x:v>Delivered</x:v>
      </x:c>
      <x:c r="H353" s="15" t="str">
        <x:v>Direct Sales</x:v>
      </x:c>
    </x:row>
    <x:row r="354">
      <x:c r="A354" s="15" t="str">
        <x:v>ORD00353</x:v>
      </x:c>
      <x:c r="B354" s="15" t="n">
        <x:v>45868</x:v>
      </x:c>
      <x:c r="C354" s="15" t="str">
        <x:v>CUST0057</x:v>
      </x:c>
      <x:c r="D354" s="15" t="str">
        <x:v>REP007</x:v>
      </x:c>
      <x:c r="E354" s="15" t="str">
        <x:v>North</x:v>
      </x:c>
      <x:c r="F354" s="15" t="str">
        <x:v>Jaipur</x:v>
      </x:c>
      <x:c r="G354" s="15" t="str">
        <x:v>Delivered</x:v>
      </x:c>
      <x:c r="H354" s="15" t="str">
        <x:v>Direct Sales</x:v>
      </x:c>
    </x:row>
    <x:row r="355">
      <x:c r="A355" s="15" t="str">
        <x:v>ORD00354</x:v>
      </x:c>
      <x:c r="B355" s="15" t="n">
        <x:v>45965</x:v>
      </x:c>
      <x:c r="C355" s="15" t="str">
        <x:v>CUST0031</x:v>
      </x:c>
      <x:c r="D355" s="15" t="str">
        <x:v>REP002</x:v>
      </x:c>
      <x:c r="E355" s="15" t="str">
        <x:v>West</x:v>
      </x:c>
      <x:c r="F355" s="15" t="str">
        <x:v>Pune</x:v>
      </x:c>
      <x:c r="G355" s="15" t="str">
        <x:v>Cancelled</x:v>
      </x:c>
      <x:c r="H355" s="15" t="str">
        <x:v>Direct Sales</x:v>
      </x:c>
    </x:row>
    <x:row r="356">
      <x:c r="A356" s="15" t="str">
        <x:v>ORD00355</x:v>
      </x:c>
      <x:c r="B356" s="15" t="n">
        <x:v>46059</x:v>
      </x:c>
      <x:c r="C356" s="15" t="str">
        <x:v>CUST0088</x:v>
      </x:c>
      <x:c r="D356" s="15" t="str">
        <x:v>REP014</x:v>
      </x:c>
      <x:c r="E356" s="15" t="str">
        <x:v>West</x:v>
      </x:c>
      <x:c r="F356" s="15" t="str">
        <x:v>Pune</x:v>
      </x:c>
      <x:c r="G356" s="15" t="str">
        <x:v>Delivered</x:v>
      </x:c>
      <x:c r="H356" s="15" t="str">
        <x:v>Direct Sales</x:v>
      </x:c>
    </x:row>
    <x:row r="357">
      <x:c r="A357" s="15" t="str">
        <x:v>ORD00356</x:v>
      </x:c>
      <x:c r="B357" s="15" t="n">
        <x:v>45832</x:v>
      </x:c>
      <x:c r="C357" s="15" t="str">
        <x:v>CUST0074</x:v>
      </x:c>
      <x:c r="D357" s="15" t="str">
        <x:v>REP009</x:v>
      </x:c>
      <x:c r="E357" s="15" t="str">
        <x:v>South</x:v>
      </x:c>
      <x:c r="F357" s="15" t="str">
        <x:v>Bengaluru</x:v>
      </x:c>
      <x:c r="G357" s="15" t="str">
        <x:v>Delivered</x:v>
      </x:c>
      <x:c r="H357" s="15" t="str">
        <x:v>Direct Sales</x:v>
      </x:c>
    </x:row>
    <x:row r="358">
      <x:c r="A358" s="15" t="str">
        <x:v>ORD00357</x:v>
      </x:c>
      <x:c r="B358" s="15" t="n">
        <x:v>46151</x:v>
      </x:c>
      <x:c r="C358" s="15" t="str">
        <x:v>CUST0075</x:v>
      </x:c>
      <x:c r="D358" s="15" t="str">
        <x:v>REP009</x:v>
      </x:c>
      <x:c r="E358" s="15" t="str">
        <x:v>South</x:v>
      </x:c>
      <x:c r="F358" s="15" t="str">
        <x:v>Chennai</x:v>
      </x:c>
      <x:c r="G358" s="15" t="str">
        <x:v>Delivered</x:v>
      </x:c>
      <x:c r="H358" s="15" t="str">
        <x:v>Online</x:v>
      </x:c>
    </x:row>
    <x:row r="359">
      <x:c r="A359" s="15" t="str">
        <x:v>ORD00358</x:v>
      </x:c>
      <x:c r="B359" s="15" t="n">
        <x:v>45662</x:v>
      </x:c>
      <x:c r="C359" s="15" t="str">
        <x:v>CUST0073</x:v>
      </x:c>
      <x:c r="D359" s="15" t="str">
        <x:v>REP012</x:v>
      </x:c>
      <x:c r="E359" s="15" t="str">
        <x:v>East</x:v>
      </x:c>
      <x:c r="F359" s="15" t="str">
        <x:v>Guwahati</x:v>
      </x:c>
      <x:c r="G359" s="15" t="str">
        <x:v>Delivered</x:v>
      </x:c>
      <x:c r="H359" s="15" t="str">
        <x:v>Online</x:v>
      </x:c>
    </x:row>
    <x:row r="360">
      <x:c r="A360" s="15" t="str">
        <x:v>ORD00359</x:v>
      </x:c>
      <x:c r="B360" s="15" t="n">
        <x:v>46077</x:v>
      </x:c>
      <x:c r="C360" s="15" t="str">
        <x:v>CUST0033</x:v>
      </x:c>
      <x:c r="D360" s="15" t="str">
        <x:v>REP004</x:v>
      </x:c>
      <x:c r="E360" s="15" t="str">
        <x:v>East</x:v>
      </x:c>
      <x:c r="F360" s="15" t="str">
        <x:v>Guwahati</x:v>
      </x:c>
      <x:c r="G360" s="15" t="str">
        <x:v>Delivered</x:v>
      </x:c>
      <x:c r="H360" s="15" t="str">
        <x:v>Distributor</x:v>
      </x:c>
    </x:row>
    <x:row r="361">
      <x:c r="A361" s="15" t="str">
        <x:v>ORD00360</x:v>
      </x:c>
      <x:c r="B361" s="15" t="n">
        <x:v>45769</x:v>
      </x:c>
      <x:c r="C361" s="15" t="str">
        <x:v>CUST0057</x:v>
      </x:c>
      <x:c r="D361" s="15" t="str">
        <x:v>REP011</x:v>
      </x:c>
      <x:c r="E361" s="15" t="str">
        <x:v>North</x:v>
      </x:c>
      <x:c r="F361" s="15" t="str">
        <x:v>Jaipur</x:v>
      </x:c>
      <x:c r="G361" s="15" t="str">
        <x:v>Delivered</x:v>
      </x:c>
      <x:c r="H361" s="15" t="str">
        <x:v>Online</x:v>
      </x:c>
    </x:row>
    <x:row r="362">
      <x:c r="A362" s="15" t="str">
        <x:v>ORD00361</x:v>
      </x:c>
      <x:c r="B362" s="15" t="n">
        <x:v>46044</x:v>
      </x:c>
      <x:c r="C362" s="15" t="str">
        <x:v>CUST0085</x:v>
      </x:c>
      <x:c r="D362" s="15" t="str">
        <x:v>REP014</x:v>
      </x:c>
      <x:c r="E362" s="15" t="str">
        <x:v>West</x:v>
      </x:c>
      <x:c r="F362" s="15" t="str">
        <x:v>Pune</x:v>
      </x:c>
      <x:c r="G362" s="15" t="str">
        <x:v>Delivered</x:v>
      </x:c>
      <x:c r="H362" s="15" t="str">
        <x:v>Distributor</x:v>
      </x:c>
    </x:row>
    <x:row r="363">
      <x:c r="A363" s="15" t="str">
        <x:v>ORD00362</x:v>
      </x:c>
      <x:c r="B363" s="15" t="n">
        <x:v>45922</x:v>
      </x:c>
      <x:c r="C363" s="15" t="str">
        <x:v>CUST0063</x:v>
      </x:c>
      <x:c r="D363" s="15" t="str">
        <x:v>REP011</x:v>
      </x:c>
      <x:c r="E363" s="15" t="str">
        <x:v>North</x:v>
      </x:c>
      <x:c r="F363" s="15" t="str">
        <x:v>Delhi</x:v>
      </x:c>
      <x:c r="G363" s="15" t="str">
        <x:v>Delivered</x:v>
      </x:c>
      <x:c r="H363" s="15" t="str">
        <x:v>Distributor</x:v>
      </x:c>
    </x:row>
    <x:row r="364">
      <x:c r="A364" s="15" t="str">
        <x:v>ORD00363</x:v>
      </x:c>
      <x:c r="B364" s="15" t="n">
        <x:v>45717</x:v>
      </x:c>
      <x:c r="C364" s="15" t="str">
        <x:v>CUST0052</x:v>
      </x:c>
      <x:c r="D364" s="15" t="str">
        <x:v>REP014</x:v>
      </x:c>
      <x:c r="E364" s="15" t="str">
        <x:v>West</x:v>
      </x:c>
      <x:c r="F364" s="15" t="str">
        <x:v>Mumbai</x:v>
      </x:c>
      <x:c r="G364" s="15" t="str">
        <x:v>Delivered</x:v>
      </x:c>
      <x:c r="H364" s="15" t="str">
        <x:v>Online</x:v>
      </x:c>
    </x:row>
    <x:row r="365">
      <x:c r="A365" s="15" t="str">
        <x:v>ORD00364</x:v>
      </x:c>
      <x:c r="B365" s="15" t="n">
        <x:v>46040</x:v>
      </x:c>
      <x:c r="C365" s="15" t="str">
        <x:v>CUST0065</x:v>
      </x:c>
      <x:c r="D365" s="15" t="str">
        <x:v>REP011</x:v>
      </x:c>
      <x:c r="E365" s="15" t="str">
        <x:v>North</x:v>
      </x:c>
      <x:c r="F365" s="15" t="str">
        <x:v>Jaipur</x:v>
      </x:c>
      <x:c r="G365" s="15" t="str">
        <x:v>Delivered</x:v>
      </x:c>
      <x:c r="H365" s="15" t="str">
        <x:v>Online</x:v>
      </x:c>
    </x:row>
    <x:row r="366">
      <x:c r="A366" s="15" t="str">
        <x:v>ORD00365</x:v>
      </x:c>
      <x:c r="B366" s="15" t="n">
        <x:v>45943</x:v>
      </x:c>
      <x:c r="C366" s="15" t="str">
        <x:v>CUST0016</x:v>
      </x:c>
      <x:c r="D366" s="15" t="str">
        <x:v>REP015</x:v>
      </x:c>
      <x:c r="E366" s="15" t="str">
        <x:v>North</x:v>
      </x:c>
      <x:c r="F366" s="15" t="str">
        <x:v>Lucknow</x:v>
      </x:c>
      <x:c r="G366" s="15" t="str">
        <x:v>Delivered</x:v>
      </x:c>
      <x:c r="H366" s="15" t="str">
        <x:v>Online</x:v>
      </x:c>
    </x:row>
    <x:row r="367">
      <x:c r="A367" s="15" t="str">
        <x:v>ORD00366</x:v>
      </x:c>
      <x:c r="B367" s="15" t="n">
        <x:v>45841</x:v>
      </x:c>
      <x:c r="C367" s="15" t="str">
        <x:v>CUST0068</x:v>
      </x:c>
      <x:c r="D367" s="15" t="str">
        <x:v>REP016</x:v>
      </x:c>
      <x:c r="E367" s="15" t="str">
        <x:v>East</x:v>
      </x:c>
      <x:c r="F367" s="15" t="str">
        <x:v>Guwahati</x:v>
      </x:c>
      <x:c r="G367" s="15" t="str">
        <x:v>Cancelled</x:v>
      </x:c>
      <x:c r="H367" s="15" t="str">
        <x:v>Distributor</x:v>
      </x:c>
    </x:row>
    <x:row r="368">
      <x:c r="A368" s="15" t="str">
        <x:v>ORD00367</x:v>
      </x:c>
      <x:c r="B368" s="15" t="n">
        <x:v>45934</x:v>
      </x:c>
      <x:c r="C368" s="15" t="str">
        <x:v>CUST0020</x:v>
      </x:c>
      <x:c r="D368" s="15" t="str">
        <x:v>REP002</x:v>
      </x:c>
      <x:c r="E368" s="15" t="str">
        <x:v>West</x:v>
      </x:c>
      <x:c r="F368" s="15" t="str">
        <x:v>Mumbai</x:v>
      </x:c>
      <x:c r="G368" s="15" t="str">
        <x:v>Delivered</x:v>
      </x:c>
      <x:c r="H368" s="15" t="str">
        <x:v>Distributor</x:v>
      </x:c>
    </x:row>
    <x:row r="369">
      <x:c r="A369" s="15" t="str">
        <x:v>ORD00368</x:v>
      </x:c>
      <x:c r="B369" s="15" t="n">
        <x:v>45816</x:v>
      </x:c>
      <x:c r="C369" s="15" t="str">
        <x:v>CUST0085</x:v>
      </x:c>
      <x:c r="D369" s="15" t="str">
        <x:v>REP006</x:v>
      </x:c>
      <x:c r="E369" s="15" t="str">
        <x:v>West</x:v>
      </x:c>
      <x:c r="F369" s="15" t="str">
        <x:v>Pune</x:v>
      </x:c>
      <x:c r="G369" s="15" t="str">
        <x:v>Delivered</x:v>
      </x:c>
      <x:c r="H369" s="15" t="str">
        <x:v>Online</x:v>
      </x:c>
    </x:row>
    <x:row r="370">
      <x:c r="A370" s="15" t="str">
        <x:v>ORD00369</x:v>
      </x:c>
      <x:c r="B370" s="15" t="n">
        <x:v>45822</x:v>
      </x:c>
      <x:c r="C370" s="15" t="str">
        <x:v>CUST0011</x:v>
      </x:c>
      <x:c r="D370" s="15" t="str">
        <x:v>REP005</x:v>
      </x:c>
      <x:c r="E370" s="15" t="str">
        <x:v>South</x:v>
      </x:c>
      <x:c r="F370" s="15" t="str">
        <x:v>Chennai</x:v>
      </x:c>
      <x:c r="G370" s="15" t="str">
        <x:v>Delivered</x:v>
      </x:c>
      <x:c r="H370" s="15" t="str">
        <x:v>Direct Sales</x:v>
      </x:c>
    </x:row>
    <x:row r="371">
      <x:c r="A371" s="15" t="str">
        <x:v>ORD00370</x:v>
      </x:c>
      <x:c r="B371" s="15" t="n">
        <x:v>45877</x:v>
      </x:c>
      <x:c r="C371" s="15" t="str">
        <x:v>CUST0035</x:v>
      </x:c>
      <x:c r="D371" s="15" t="str">
        <x:v>REP002</x:v>
      </x:c>
      <x:c r="E371" s="15" t="str">
        <x:v>West</x:v>
      </x:c>
      <x:c r="F371" s="15" t="str">
        <x:v>Pune</x:v>
      </x:c>
      <x:c r="G371" s="15" t="str">
        <x:v>Delivered</x:v>
      </x:c>
      <x:c r="H371" s="15" t="str">
        <x:v>Distributor</x:v>
      </x:c>
    </x:row>
    <x:row r="372">
      <x:c r="A372" s="15" t="str">
        <x:v>ORD00371</x:v>
      </x:c>
      <x:c r="B372" s="15" t="n">
        <x:v>46190</x:v>
      </x:c>
      <x:c r="C372" s="15" t="str">
        <x:v>CUST0090</x:v>
      </x:c>
      <x:c r="D372" s="15" t="str">
        <x:v>REP003</x:v>
      </x:c>
      <x:c r="E372" s="15" t="str">
        <x:v>North</x:v>
      </x:c>
      <x:c r="F372" s="15" t="str">
        <x:v>Delhi</x:v>
      </x:c>
      <x:c r="G372" s="15" t="str">
        <x:v>Delivered</x:v>
      </x:c>
      <x:c r="H372" s="15" t="str">
        <x:v>Direct Sales</x:v>
      </x:c>
    </x:row>
    <x:row r="373">
      <x:c r="A373" s="15" t="str">
        <x:v>ORD00372</x:v>
      </x:c>
      <x:c r="B373" s="15" t="n">
        <x:v>45784</x:v>
      </x:c>
      <x:c r="C373" s="15" t="str">
        <x:v>CUST0016</x:v>
      </x:c>
      <x:c r="D373" s="15" t="str">
        <x:v>REP003</x:v>
      </x:c>
      <x:c r="E373" s="15" t="str">
        <x:v>North</x:v>
      </x:c>
      <x:c r="F373" s="15" t="str">
        <x:v>Lucknow</x:v>
      </x:c>
      <x:c r="G373" s="15" t="str">
        <x:v>Delivered</x:v>
      </x:c>
      <x:c r="H373" s="15" t="str">
        <x:v>Direct Sales</x:v>
      </x:c>
    </x:row>
    <x:row r="374">
      <x:c r="A374" s="15" t="str">
        <x:v>ORD00373</x:v>
      </x:c>
      <x:c r="B374" s="15" t="n">
        <x:v>45918</x:v>
      </x:c>
      <x:c r="C374" s="15" t="str">
        <x:v>CUST0034</x:v>
      </x:c>
      <x:c r="D374" s="15" t="str">
        <x:v>REP008</x:v>
      </x:c>
      <x:c r="E374" s="15" t="str">
        <x:v>East</x:v>
      </x:c>
      <x:c r="F374" s="15" t="str">
        <x:v>Bhubaneswar</x:v>
      </x:c>
      <x:c r="G374" s="15" t="str">
        <x:v>Pending</x:v>
      </x:c>
      <x:c r="H374" s="15" t="str">
        <x:v>Direct Sales</x:v>
      </x:c>
    </x:row>
    <x:row r="375">
      <x:c r="A375" s="15" t="str">
        <x:v>ORD00374</x:v>
      </x:c>
      <x:c r="B375" s="15" t="n">
        <x:v>45818</x:v>
      </x:c>
      <x:c r="C375" s="15" t="str">
        <x:v>CUST0093</x:v>
      </x:c>
      <x:c r="D375" s="15" t="str">
        <x:v>REP009</x:v>
      </x:c>
      <x:c r="E375" s="15" t="str">
        <x:v>South</x:v>
      </x:c>
      <x:c r="F375" s="15" t="str">
        <x:v>Chennai</x:v>
      </x:c>
      <x:c r="G375" s="15" t="str">
        <x:v>Delivered</x:v>
      </x:c>
      <x:c r="H375" s="15" t="str">
        <x:v>Distributor</x:v>
      </x:c>
    </x:row>
    <x:row r="376">
      <x:c r="A376" s="15" t="str">
        <x:v>ORD00375</x:v>
      </x:c>
      <x:c r="B376" s="15" t="n">
        <x:v>45884</x:v>
      </x:c>
      <x:c r="C376" s="15" t="str">
        <x:v>CUST0095</x:v>
      </x:c>
      <x:c r="D376" s="15" t="str">
        <x:v>REP002</x:v>
      </x:c>
      <x:c r="E376" s="15" t="str">
        <x:v>West</x:v>
      </x:c>
      <x:c r="F376" s="15" t="str">
        <x:v>Ahmedabad</x:v>
      </x:c>
      <x:c r="G376" s="15" t="str">
        <x:v>Delivered</x:v>
      </x:c>
      <x:c r="H376" s="15" t="str">
        <x:v>Online</x:v>
      </x:c>
    </x:row>
    <x:row r="377">
      <x:c r="A377" s="15" t="str">
        <x:v>ORD00376</x:v>
      </x:c>
      <x:c r="B377" s="15" t="n">
        <x:v>46029</x:v>
      </x:c>
      <x:c r="C377" s="15" t="str">
        <x:v>CUST0064</x:v>
      </x:c>
      <x:c r="D377" s="15" t="str">
        <x:v>REP005</x:v>
      </x:c>
      <x:c r="E377" s="15" t="str">
        <x:v>South</x:v>
      </x:c>
      <x:c r="F377" s="15" t="str">
        <x:v>Chennai</x:v>
      </x:c>
      <x:c r="G377" s="15" t="str">
        <x:v>Delivered</x:v>
      </x:c>
      <x:c r="H377" s="15" t="str">
        <x:v>Distributor</x:v>
      </x:c>
    </x:row>
    <x:row r="378">
      <x:c r="A378" s="15" t="str">
        <x:v>ORD00377</x:v>
      </x:c>
      <x:c r="B378" s="15" t="n">
        <x:v>45809</x:v>
      </x:c>
      <x:c r="C378" s="15" t="str">
        <x:v>CUST0014</x:v>
      </x:c>
      <x:c r="D378" s="15" t="str">
        <x:v>REP007</x:v>
      </x:c>
      <x:c r="E378" s="15" t="str">
        <x:v>North</x:v>
      </x:c>
      <x:c r="F378" s="15" t="str">
        <x:v>Lucknow</x:v>
      </x:c>
      <x:c r="G378" s="15" t="str">
        <x:v>Delivered</x:v>
      </x:c>
      <x:c r="H378" s="15" t="str">
        <x:v>Distributor</x:v>
      </x:c>
    </x:row>
    <x:row r="379">
      <x:c r="A379" s="15" t="str">
        <x:v>ORD00378</x:v>
      </x:c>
      <x:c r="B379" s="15" t="n">
        <x:v>45816</x:v>
      </x:c>
      <x:c r="C379" s="15" t="str">
        <x:v>CUST0001</x:v>
      </x:c>
      <x:c r="D379" s="15" t="str">
        <x:v>REP014</x:v>
      </x:c>
      <x:c r="E379" s="15" t="str">
        <x:v>West</x:v>
      </x:c>
      <x:c r="F379" s="15" t="str">
        <x:v>Pune</x:v>
      </x:c>
      <x:c r="G379" s="15" t="str">
        <x:v>Pending</x:v>
      </x:c>
      <x:c r="H379" s="15" t="str">
        <x:v>Online</x:v>
      </x:c>
    </x:row>
    <x:row r="380">
      <x:c r="A380" s="15" t="str">
        <x:v>ORD00379</x:v>
      </x:c>
      <x:c r="B380" s="15" t="n">
        <x:v>45946</x:v>
      </x:c>
      <x:c r="C380" s="15" t="str">
        <x:v>CUST0024</x:v>
      </x:c>
      <x:c r="D380" s="15" t="str">
        <x:v>REP003</x:v>
      </x:c>
      <x:c r="E380" s="15" t="str">
        <x:v>North</x:v>
      </x:c>
      <x:c r="F380" s="15" t="str">
        <x:v>Delhi</x:v>
      </x:c>
      <x:c r="G380" s="15" t="str">
        <x:v>Delivered</x:v>
      </x:c>
      <x:c r="H380" s="15" t="str">
        <x:v>Online</x:v>
      </x:c>
    </x:row>
    <x:row r="381">
      <x:c r="A381" s="15" t="str">
        <x:v>ORD00380</x:v>
      </x:c>
      <x:c r="B381" s="15" t="n">
        <x:v>46124</x:v>
      </x:c>
      <x:c r="C381" s="15" t="str">
        <x:v>CUST0033</x:v>
      </x:c>
      <x:c r="D381" s="15" t="str">
        <x:v>REP016</x:v>
      </x:c>
      <x:c r="E381" s="15" t="str">
        <x:v>East</x:v>
      </x:c>
      <x:c r="F381" s="15" t="str">
        <x:v>Guwahati</x:v>
      </x:c>
      <x:c r="G381" s="15" t="str">
        <x:v>Delivered</x:v>
      </x:c>
      <x:c r="H381" s="15" t="str">
        <x:v>Distributor</x:v>
      </x:c>
    </x:row>
    <x:row r="382">
      <x:c r="A382" s="15" t="str">
        <x:v>ORD00381</x:v>
      </x:c>
      <x:c r="B382" s="15" t="n">
        <x:v>45757</x:v>
      </x:c>
      <x:c r="C382" s="15" t="str">
        <x:v>CUST0074</x:v>
      </x:c>
      <x:c r="D382" s="15" t="str">
        <x:v>REP013</x:v>
      </x:c>
      <x:c r="E382" s="15" t="str">
        <x:v>South</x:v>
      </x:c>
      <x:c r="F382" s="15" t="str">
        <x:v>Bengaluru</x:v>
      </x:c>
      <x:c r="G382" s="15" t="str">
        <x:v>Delivered</x:v>
      </x:c>
      <x:c r="H382" s="15" t="str">
        <x:v>Online</x:v>
      </x:c>
    </x:row>
    <x:row r="383">
      <x:c r="A383" s="15" t="str">
        <x:v>ORD00382</x:v>
      </x:c>
      <x:c r="B383" s="15" t="n">
        <x:v>46136</x:v>
      </x:c>
      <x:c r="C383" s="15" t="str">
        <x:v>CUST0059</x:v>
      </x:c>
      <x:c r="D383" s="15" t="str">
        <x:v>REP006</x:v>
      </x:c>
      <x:c r="E383" s="15" t="str">
        <x:v>West</x:v>
      </x:c>
      <x:c r="F383" s="15" t="str">
        <x:v>Pune</x:v>
      </x:c>
      <x:c r="G383" s="15" t="str">
        <x:v>Delivered</x:v>
      </x:c>
      <x:c r="H383" s="15" t="str">
        <x:v>Distributor</x:v>
      </x:c>
    </x:row>
    <x:row r="384">
      <x:c r="A384" s="15" t="str">
        <x:v>ORD00383</x:v>
      </x:c>
      <x:c r="B384" s="15" t="n">
        <x:v>45889</x:v>
      </x:c>
      <x:c r="C384" s="15" t="str">
        <x:v>CUST0084</x:v>
      </x:c>
      <x:c r="D384" s="15" t="str">
        <x:v>REP013</x:v>
      </x:c>
      <x:c r="E384" s="15" t="str">
        <x:v>South</x:v>
      </x:c>
      <x:c r="F384" s="15" t="str">
        <x:v>Chennai</x:v>
      </x:c>
      <x:c r="G384" s="15" t="str">
        <x:v>Pending</x:v>
      </x:c>
      <x:c r="H384" s="15" t="str">
        <x:v>Online</x:v>
      </x:c>
    </x:row>
    <x:row r="385">
      <x:c r="A385" s="15" t="str">
        <x:v>ORD00384</x:v>
      </x:c>
      <x:c r="B385" s="15" t="n">
        <x:v>46054</x:v>
      </x:c>
      <x:c r="C385" s="15" t="str">
        <x:v>CUST0080</x:v>
      </x:c>
      <x:c r="D385" s="15" t="str">
        <x:v>REP007</x:v>
      </x:c>
      <x:c r="E385" s="15" t="str">
        <x:v>North</x:v>
      </x:c>
      <x:c r="F385" s="15" t="str">
        <x:v>Jaipur</x:v>
      </x:c>
      <x:c r="G385" s="15" t="str">
        <x:v>Delivered</x:v>
      </x:c>
      <x:c r="H385" s="15" t="str">
        <x:v>Online</x:v>
      </x:c>
    </x:row>
    <x:row r="386">
      <x:c r="A386" s="15" t="str">
        <x:v>ORD00385</x:v>
      </x:c>
      <x:c r="B386" s="15" t="n">
        <x:v>45697</x:v>
      </x:c>
      <x:c r="C386" s="15" t="str">
        <x:v>CUST0045</x:v>
      </x:c>
      <x:c r="D386" s="15" t="str">
        <x:v>REP011</x:v>
      </x:c>
      <x:c r="E386" s="15" t="str">
        <x:v>North</x:v>
      </x:c>
      <x:c r="F386" s="15" t="str">
        <x:v>Lucknow</x:v>
      </x:c>
      <x:c r="G386" s="15" t="str">
        <x:v>Delivered</x:v>
      </x:c>
      <x:c r="H386" s="15" t="str">
        <x:v>Online</x:v>
      </x:c>
    </x:row>
    <x:row r="387">
      <x:c r="A387" s="15" t="str">
        <x:v>ORD00386</x:v>
      </x:c>
      <x:c r="B387" s="15" t="n">
        <x:v>46021</x:v>
      </x:c>
      <x:c r="C387" s="15" t="str">
        <x:v>CUST0007</x:v>
      </x:c>
      <x:c r="D387" s="15" t="str">
        <x:v>REP016</x:v>
      </x:c>
      <x:c r="E387" s="15" t="str">
        <x:v>East</x:v>
      </x:c>
      <x:c r="F387" s="15" t="str">
        <x:v>Guwahati</x:v>
      </x:c>
      <x:c r="G387" s="15" t="str">
        <x:v>Delivered</x:v>
      </x:c>
      <x:c r="H387" s="15" t="str">
        <x:v>Direct Sales</x:v>
      </x:c>
    </x:row>
    <x:row r="388">
      <x:c r="A388" s="15" t="str">
        <x:v>ORD00387</x:v>
      </x:c>
      <x:c r="B388" s="15" t="n">
        <x:v>45687</x:v>
      </x:c>
      <x:c r="C388" s="15" t="str">
        <x:v>CUST0050</x:v>
      </x:c>
      <x:c r="D388" s="15" t="str">
        <x:v>REP008</x:v>
      </x:c>
      <x:c r="E388" s="15" t="str">
        <x:v>East</x:v>
      </x:c>
      <x:c r="F388" s="15" t="str">
        <x:v>Kolkata</x:v>
      </x:c>
      <x:c r="G388" s="15" t="str">
        <x:v>Pending</x:v>
      </x:c>
      <x:c r="H388" s="15" t="str">
        <x:v>Direct Sales</x:v>
      </x:c>
    </x:row>
    <x:row r="389">
      <x:c r="A389" s="15" t="str">
        <x:v>ORD00388</x:v>
      </x:c>
      <x:c r="B389" s="15" t="n">
        <x:v>45729</x:v>
      </x:c>
      <x:c r="C389" s="15" t="str">
        <x:v>CUST0052</x:v>
      </x:c>
      <x:c r="D389" s="15" t="str">
        <x:v>REP014</x:v>
      </x:c>
      <x:c r="E389" s="15" t="str">
        <x:v>West</x:v>
      </x:c>
      <x:c r="F389" s="15" t="str">
        <x:v>Mumbai</x:v>
      </x:c>
      <x:c r="G389" s="15" t="str">
        <x:v>Cancelled</x:v>
      </x:c>
      <x:c r="H389" s="15" t="str">
        <x:v>Distributor</x:v>
      </x:c>
    </x:row>
    <x:row r="390">
      <x:c r="A390" s="15" t="str">
        <x:v>ORD00389</x:v>
      </x:c>
      <x:c r="B390" s="15" t="n">
        <x:v>46055</x:v>
      </x:c>
      <x:c r="C390" s="15" t="str">
        <x:v>CUST0056</x:v>
      </x:c>
      <x:c r="D390" s="15" t="str">
        <x:v>REP014</x:v>
      </x:c>
      <x:c r="E390" s="15" t="str">
        <x:v>West</x:v>
      </x:c>
      <x:c r="F390" s="15" t="str">
        <x:v>Mumbai</x:v>
      </x:c>
      <x:c r="G390" s="15" t="str">
        <x:v>Cancelled</x:v>
      </x:c>
      <x:c r="H390" s="15" t="str">
        <x:v>Online</x:v>
      </x:c>
    </x:row>
    <x:row r="391">
      <x:c r="A391" s="15" t="str">
        <x:v>ORD00390</x:v>
      </x:c>
      <x:c r="B391" s="15" t="n">
        <x:v>45703</x:v>
      </x:c>
      <x:c r="C391" s="15" t="str">
        <x:v>CUST0082</x:v>
      </x:c>
      <x:c r="D391" s="15" t="str">
        <x:v>REP004</x:v>
      </x:c>
      <x:c r="E391" s="15" t="str">
        <x:v>East</x:v>
      </x:c>
      <x:c r="F391" s="15" t="str">
        <x:v>Guwahati</x:v>
      </x:c>
      <x:c r="G391" s="15" t="str">
        <x:v>Delivered</x:v>
      </x:c>
      <x:c r="H391" s="15" t="str">
        <x:v>Direct Sales</x:v>
      </x:c>
    </x:row>
    <x:row r="392">
      <x:c r="A392" s="15" t="str">
        <x:v>ORD00391</x:v>
      </x:c>
      <x:c r="B392" s="15" t="n">
        <x:v>46123</x:v>
      </x:c>
      <x:c r="C392" s="15" t="str">
        <x:v>CUST0030</x:v>
      </x:c>
      <x:c r="D392" s="15" t="str">
        <x:v>REP003</x:v>
      </x:c>
      <x:c r="E392" s="15" t="str">
        <x:v>North</x:v>
      </x:c>
      <x:c r="F392" s="15" t="str">
        <x:v>Jaipur</x:v>
      </x:c>
      <x:c r="G392" s="15" t="str">
        <x:v>Delivered</x:v>
      </x:c>
      <x:c r="H392" s="15" t="str">
        <x:v>Online</x:v>
      </x:c>
    </x:row>
    <x:row r="393">
      <x:c r="A393" s="15" t="str">
        <x:v>ORD00392</x:v>
      </x:c>
      <x:c r="B393" s="15" t="n">
        <x:v>45718</x:v>
      </x:c>
      <x:c r="C393" s="15" t="str">
        <x:v>CUST0041</x:v>
      </x:c>
      <x:c r="D393" s="15" t="str">
        <x:v>REP016</x:v>
      </x:c>
      <x:c r="E393" s="15" t="str">
        <x:v>East</x:v>
      </x:c>
      <x:c r="F393" s="15" t="str">
        <x:v>Guwahati</x:v>
      </x:c>
      <x:c r="G393" s="15" t="str">
        <x:v>Delivered</x:v>
      </x:c>
      <x:c r="H393" s="15" t="str">
        <x:v>Online</x:v>
      </x:c>
    </x:row>
    <x:row r="394">
      <x:c r="A394" s="15" t="str">
        <x:v>ORD00393</x:v>
      </x:c>
      <x:c r="B394" s="15" t="n">
        <x:v>45745</x:v>
      </x:c>
      <x:c r="C394" s="15" t="str">
        <x:v>CUST0072</x:v>
      </x:c>
      <x:c r="D394" s="15" t="str">
        <x:v>REP013</x:v>
      </x:c>
      <x:c r="E394" s="15" t="str">
        <x:v>South</x:v>
      </x:c>
      <x:c r="F394" s="15" t="str">
        <x:v>Bengaluru</x:v>
      </x:c>
      <x:c r="G394" s="15" t="str">
        <x:v>Delivered</x:v>
      </x:c>
      <x:c r="H394" s="15" t="str">
        <x:v>Distributor</x:v>
      </x:c>
    </x:row>
    <x:row r="395">
      <x:c r="A395" s="15" t="str">
        <x:v>ORD00394</x:v>
      </x:c>
      <x:c r="B395" s="15" t="n">
        <x:v>45794</x:v>
      </x:c>
      <x:c r="C395" s="15" t="str">
        <x:v>CUST0069</x:v>
      </x:c>
      <x:c r="D395" s="15" t="str">
        <x:v>REP007</x:v>
      </x:c>
      <x:c r="E395" s="15" t="str">
        <x:v>North</x:v>
      </x:c>
      <x:c r="F395" s="15" t="str">
        <x:v>Delhi</x:v>
      </x:c>
      <x:c r="G395" s="15" t="str">
        <x:v>Delivered</x:v>
      </x:c>
      <x:c r="H395" s="15" t="str">
        <x:v>Online</x:v>
      </x:c>
    </x:row>
    <x:row r="396">
      <x:c r="A396" s="15" t="str">
        <x:v>ORD00395</x:v>
      </x:c>
      <x:c r="B396" s="15" t="n">
        <x:v>46073</x:v>
      </x:c>
      <x:c r="C396" s="15" t="str">
        <x:v>CUST0035</x:v>
      </x:c>
      <x:c r="D396" s="15" t="str">
        <x:v>REP002</x:v>
      </x:c>
      <x:c r="E396" s="15" t="str">
        <x:v>West</x:v>
      </x:c>
      <x:c r="F396" s="15" t="str">
        <x:v>Pune</x:v>
      </x:c>
      <x:c r="G396" s="15" t="str">
        <x:v>Delivered</x:v>
      </x:c>
      <x:c r="H396" s="15" t="str">
        <x:v>Online</x:v>
      </x:c>
    </x:row>
    <x:row r="397">
      <x:c r="A397" s="15" t="str">
        <x:v>ORD00396</x:v>
      </x:c>
      <x:c r="B397" s="15" t="n">
        <x:v>45765</x:v>
      </x:c>
      <x:c r="C397" s="15" t="str">
        <x:v>CUST0003</x:v>
      </x:c>
      <x:c r="D397" s="15" t="str">
        <x:v>REP002</x:v>
      </x:c>
      <x:c r="E397" s="15" t="str">
        <x:v>West</x:v>
      </x:c>
      <x:c r="F397" s="15" t="str">
        <x:v>Ahmedabad</x:v>
      </x:c>
      <x:c r="G397" s="15" t="str">
        <x:v>Delivered</x:v>
      </x:c>
      <x:c r="H397" s="15" t="str">
        <x:v>Online</x:v>
      </x:c>
    </x:row>
    <x:row r="398">
      <x:c r="A398" s="15" t="str">
        <x:v>ORD00397</x:v>
      </x:c>
      <x:c r="B398" s="15" t="n">
        <x:v>45897</x:v>
      </x:c>
      <x:c r="C398" s="15" t="str">
        <x:v>CUST0012</x:v>
      </x:c>
      <x:c r="D398" s="15" t="str">
        <x:v>REP012</x:v>
      </x:c>
      <x:c r="E398" s="15" t="str">
        <x:v>East</x:v>
      </x:c>
      <x:c r="F398" s="15" t="str">
        <x:v>Bhubaneswar</x:v>
      </x:c>
      <x:c r="G398" s="15" t="str">
        <x:v>Cancelled</x:v>
      </x:c>
      <x:c r="H398" s="15" t="str">
        <x:v>Online</x:v>
      </x:c>
    </x:row>
    <x:row r="399">
      <x:c r="A399" s="15" t="str">
        <x:v>ORD00398</x:v>
      </x:c>
      <x:c r="B399" s="15" t="n">
        <x:v>46163</x:v>
      </x:c>
      <x:c r="C399" s="15" t="str">
        <x:v>CUST0027</x:v>
      </x:c>
      <x:c r="D399" s="15" t="str">
        <x:v>REP016</x:v>
      </x:c>
      <x:c r="E399" s="15" t="str">
        <x:v>East</x:v>
      </x:c>
      <x:c r="F399" s="15" t="str">
        <x:v>Guwahati</x:v>
      </x:c>
      <x:c r="G399" s="15" t="str">
        <x:v>Delivered</x:v>
      </x:c>
      <x:c r="H399" s="15" t="str">
        <x:v>Distributor</x:v>
      </x:c>
    </x:row>
    <x:row r="400">
      <x:c r="A400" s="15" t="str">
        <x:v>ORD00399</x:v>
      </x:c>
      <x:c r="B400" s="15" t="n">
        <x:v>45968</x:v>
      </x:c>
      <x:c r="C400" s="15" t="str">
        <x:v>CUST0084</x:v>
      </x:c>
      <x:c r="D400" s="15" t="str">
        <x:v>REP013</x:v>
      </x:c>
      <x:c r="E400" s="15" t="str">
        <x:v>South</x:v>
      </x:c>
      <x:c r="F400" s="15" t="str">
        <x:v>Chennai</x:v>
      </x:c>
      <x:c r="G400" s="15" t="str">
        <x:v>Delivered</x:v>
      </x:c>
      <x:c r="H400" s="15" t="str">
        <x:v>Online</x:v>
      </x:c>
    </x:row>
    <x:row r="401">
      <x:c r="A401" s="15" t="str">
        <x:v>ORD00400</x:v>
      </x:c>
      <x:c r="B401" s="15" t="n">
        <x:v>46018</x:v>
      </x:c>
      <x:c r="C401" s="15" t="str">
        <x:v>CUST0070</x:v>
      </x:c>
      <x:c r="D401" s="15" t="str">
        <x:v>REP011</x:v>
      </x:c>
      <x:c r="E401" s="15" t="str">
        <x:v>North</x:v>
      </x:c>
      <x:c r="F401" s="15" t="str">
        <x:v>Lucknow</x:v>
      </x:c>
      <x:c r="G401" s="15" t="str">
        <x:v>Delivered</x:v>
      </x:c>
      <x:c r="H401" s="15" t="str">
        <x:v>Distributor</x:v>
      </x:c>
    </x:row>
    <x:row r="402">
      <x:c r="A402" s="15" t="str">
        <x:v>ORD00401</x:v>
      </x:c>
      <x:c r="B402" s="15" t="n">
        <x:v>45840</x:v>
      </x:c>
      <x:c r="C402" s="15" t="str">
        <x:v>CUST0057</x:v>
      </x:c>
      <x:c r="D402" s="15" t="str">
        <x:v>REP015</x:v>
      </x:c>
      <x:c r="E402" s="15" t="str">
        <x:v>North</x:v>
      </x:c>
      <x:c r="F402" s="15" t="str">
        <x:v>Jaipur</x:v>
      </x:c>
      <x:c r="G402" s="15" t="str">
        <x:v>Delivered</x:v>
      </x:c>
      <x:c r="H402" s="15" t="str">
        <x:v>Online</x:v>
      </x:c>
    </x:row>
    <x:row r="403">
      <x:c r="A403" s="15" t="str">
        <x:v>ORD00402</x:v>
      </x:c>
      <x:c r="B403" s="15" t="n">
        <x:v>46180</x:v>
      </x:c>
      <x:c r="C403" s="15" t="str">
        <x:v>CUST0058</x:v>
      </x:c>
      <x:c r="D403" s="15" t="str">
        <x:v>REP005</x:v>
      </x:c>
      <x:c r="E403" s="15" t="str">
        <x:v>South</x:v>
      </x:c>
      <x:c r="F403" s="15" t="str">
        <x:v>Chennai</x:v>
      </x:c>
      <x:c r="G403" s="15" t="str">
        <x:v>Delivered</x:v>
      </x:c>
      <x:c r="H403" s="15" t="str">
        <x:v>Distributor</x:v>
      </x:c>
    </x:row>
    <x:row r="404">
      <x:c r="A404" s="15" t="str">
        <x:v>ORD00403</x:v>
      </x:c>
      <x:c r="B404" s="15" t="n">
        <x:v>45893</x:v>
      </x:c>
      <x:c r="C404" s="15" t="str">
        <x:v>CUST0049</x:v>
      </x:c>
      <x:c r="D404" s="15" t="str">
        <x:v>REP004</x:v>
      </x:c>
      <x:c r="E404" s="15" t="str">
        <x:v>East</x:v>
      </x:c>
      <x:c r="F404" s="15" t="str">
        <x:v>Bhubaneswar</x:v>
      </x:c>
      <x:c r="G404" s="15" t="str">
        <x:v>Delivered</x:v>
      </x:c>
      <x:c r="H404" s="15" t="str">
        <x:v>Direct Sales</x:v>
      </x:c>
    </x:row>
    <x:row r="405">
      <x:c r="A405" s="15" t="str">
        <x:v>ORD00404</x:v>
      </x:c>
      <x:c r="B405" s="15" t="n">
        <x:v>45994</x:v>
      </x:c>
      <x:c r="C405" s="15" t="str">
        <x:v>CUST0074</x:v>
      </x:c>
      <x:c r="D405" s="15" t="str">
        <x:v>REP009</x:v>
      </x:c>
      <x:c r="E405" s="15" t="str">
        <x:v>South</x:v>
      </x:c>
      <x:c r="F405" s="15" t="str">
        <x:v>Bengaluru</x:v>
      </x:c>
      <x:c r="G405" s="15" t="str">
        <x:v>Delivered</x:v>
      </x:c>
      <x:c r="H405" s="15" t="str">
        <x:v>Direct Sales</x:v>
      </x:c>
    </x:row>
    <x:row r="406">
      <x:c r="A406" s="15" t="str">
        <x:v>ORD00405</x:v>
      </x:c>
      <x:c r="B406" s="15" t="n">
        <x:v>45705</x:v>
      </x:c>
      <x:c r="C406" s="15" t="str">
        <x:v>CUST0073</x:v>
      </x:c>
      <x:c r="D406" s="15" t="str">
        <x:v>REP004</x:v>
      </x:c>
      <x:c r="E406" s="15" t="str">
        <x:v>East</x:v>
      </x:c>
      <x:c r="F406" s="15" t="str">
        <x:v>Guwahati</x:v>
      </x:c>
      <x:c r="G406" s="15" t="str">
        <x:v>Delivered</x:v>
      </x:c>
      <x:c r="H406" s="15" t="str">
        <x:v>Online</x:v>
      </x:c>
    </x:row>
    <x:row r="407">
      <x:c r="A407" s="15" t="str">
        <x:v>ORD00406</x:v>
      </x:c>
      <x:c r="B407" s="15" t="n">
        <x:v>45793</x:v>
      </x:c>
      <x:c r="C407" s="15" t="str">
        <x:v>CUST0021</x:v>
      </x:c>
      <x:c r="D407" s="15" t="str">
        <x:v>REP005</x:v>
      </x:c>
      <x:c r="E407" s="15" t="str">
        <x:v>South</x:v>
      </x:c>
      <x:c r="F407" s="15" t="str">
        <x:v>Bengaluru</x:v>
      </x:c>
      <x:c r="G407" s="15" t="str">
        <x:v>Cancelled</x:v>
      </x:c>
      <x:c r="H407" s="15" t="str">
        <x:v>Distributor</x:v>
      </x:c>
    </x:row>
    <x:row r="408">
      <x:c r="A408" s="15" t="str">
        <x:v>ORD00407</x:v>
      </x:c>
      <x:c r="B408" s="15" t="n">
        <x:v>45680</x:v>
      </x:c>
      <x:c r="C408" s="15" t="str">
        <x:v>CUST0038</x:v>
      </x:c>
      <x:c r="D408" s="15" t="str">
        <x:v>REP014</x:v>
      </x:c>
      <x:c r="E408" s="15" t="str">
        <x:v>West</x:v>
      </x:c>
      <x:c r="F408" s="15" t="str">
        <x:v>Ahmedabad</x:v>
      </x:c>
      <x:c r="G408" s="15" t="str">
        <x:v>Cancelled</x:v>
      </x:c>
      <x:c r="H408" s="15" t="str">
        <x:v>Distributor</x:v>
      </x:c>
    </x:row>
    <x:row r="409">
      <x:c r="A409" s="15" t="str">
        <x:v>ORD00408</x:v>
      </x:c>
      <x:c r="B409" s="15" t="n">
        <x:v>46015</x:v>
      </x:c>
      <x:c r="C409" s="15" t="str">
        <x:v>CUST0015</x:v>
      </x:c>
      <x:c r="D409" s="15" t="str">
        <x:v>REP014</x:v>
      </x:c>
      <x:c r="E409" s="15" t="str">
        <x:v>West</x:v>
      </x:c>
      <x:c r="F409" s="15" t="str">
        <x:v>Mumbai</x:v>
      </x:c>
      <x:c r="G409" s="15" t="str">
        <x:v>Delivered</x:v>
      </x:c>
      <x:c r="H409" s="15" t="str">
        <x:v>Direct Sales</x:v>
      </x:c>
    </x:row>
    <x:row r="410">
      <x:c r="A410" s="15" t="str">
        <x:v>ORD00409</x:v>
      </x:c>
      <x:c r="B410" s="15" t="n">
        <x:v>45997</x:v>
      </x:c>
      <x:c r="C410" s="15" t="str">
        <x:v>CUST0057</x:v>
      </x:c>
      <x:c r="D410" s="15" t="str">
        <x:v>REP011</x:v>
      </x:c>
      <x:c r="E410" s="15" t="str">
        <x:v>North</x:v>
      </x:c>
      <x:c r="F410" s="15" t="str">
        <x:v>Jaipur</x:v>
      </x:c>
      <x:c r="G410" s="15" t="str">
        <x:v>Delivered</x:v>
      </x:c>
      <x:c r="H410" s="15" t="str">
        <x:v>Distributor</x:v>
      </x:c>
    </x:row>
    <x:row r="411">
      <x:c r="A411" s="15" t="str">
        <x:v>ORD00410</x:v>
      </x:c>
      <x:c r="B411" s="15" t="n">
        <x:v>45768</x:v>
      </x:c>
      <x:c r="C411" s="15" t="str">
        <x:v>CUST0093</x:v>
      </x:c>
      <x:c r="D411" s="15" t="str">
        <x:v>REP009</x:v>
      </x:c>
      <x:c r="E411" s="15" t="str">
        <x:v>South</x:v>
      </x:c>
      <x:c r="F411" s="15" t="str">
        <x:v>Chennai</x:v>
      </x:c>
      <x:c r="G411" s="15" t="str">
        <x:v>Delivered</x:v>
      </x:c>
      <x:c r="H411" s="15" t="str">
        <x:v>Online</x:v>
      </x:c>
    </x:row>
    <x:row r="412">
      <x:c r="A412" s="15" t="str">
        <x:v>ORD00411</x:v>
      </x:c>
      <x:c r="B412" s="15" t="n">
        <x:v>45704</x:v>
      </x:c>
      <x:c r="C412" s="15" t="str">
        <x:v>CUST0096</x:v>
      </x:c>
      <x:c r="D412" s="15" t="str">
        <x:v>REP007</x:v>
      </x:c>
      <x:c r="E412" s="15" t="str">
        <x:v>North</x:v>
      </x:c>
      <x:c r="F412" s="15" t="str">
        <x:v>Lucknow</x:v>
      </x:c>
      <x:c r="G412" s="15" t="str">
        <x:v>Delivered</x:v>
      </x:c>
      <x:c r="H412" s="15" t="str">
        <x:v>Direct Sales</x:v>
      </x:c>
    </x:row>
    <x:row r="413">
      <x:c r="A413" s="15" t="str">
        <x:v>ORD00412</x:v>
      </x:c>
      <x:c r="B413" s="15" t="n">
        <x:v>45792</x:v>
      </x:c>
      <x:c r="C413" s="15" t="str">
        <x:v>CUST0003</x:v>
      </x:c>
      <x:c r="D413" s="15" t="str">
        <x:v>REP014</x:v>
      </x:c>
      <x:c r="E413" s="15" t="str">
        <x:v>West</x:v>
      </x:c>
      <x:c r="F413" s="15" t="str">
        <x:v>Ahmedabad</x:v>
      </x:c>
      <x:c r="G413" s="15" t="str">
        <x:v>Cancelled</x:v>
      </x:c>
      <x:c r="H413" s="15" t="str">
        <x:v>Distributor</x:v>
      </x:c>
    </x:row>
    <x:row r="414">
      <x:c r="A414" s="15" t="str">
        <x:v>ORD00413</x:v>
      </x:c>
      <x:c r="B414" s="15" t="n">
        <x:v>45801</x:v>
      </x:c>
      <x:c r="C414" s="15" t="str">
        <x:v>CUST0024</x:v>
      </x:c>
      <x:c r="D414" s="15" t="str">
        <x:v>REP007</x:v>
      </x:c>
      <x:c r="E414" s="15" t="str">
        <x:v>North</x:v>
      </x:c>
      <x:c r="F414" s="15" t="str">
        <x:v>Delhi</x:v>
      </x:c>
      <x:c r="G414" s="15" t="str">
        <x:v>Delivered</x:v>
      </x:c>
      <x:c r="H414" s="15" t="str">
        <x:v>Distributor</x:v>
      </x:c>
    </x:row>
    <x:row r="415">
      <x:c r="A415" s="15" t="str">
        <x:v>ORD00414</x:v>
      </x:c>
      <x:c r="B415" s="15" t="n">
        <x:v>45836</x:v>
      </x:c>
      <x:c r="C415" s="15" t="str">
        <x:v>CUST0025</x:v>
      </x:c>
      <x:c r="D415" s="15" t="str">
        <x:v>REP015</x:v>
      </x:c>
      <x:c r="E415" s="15" t="str">
        <x:v>North</x:v>
      </x:c>
      <x:c r="F415" s="15" t="str">
        <x:v>Lucknow</x:v>
      </x:c>
      <x:c r="G415" s="15" t="str">
        <x:v>Delivered</x:v>
      </x:c>
      <x:c r="H415" s="15" t="str">
        <x:v>Online</x:v>
      </x:c>
    </x:row>
    <x:row r="416">
      <x:c r="A416" s="15" t="str">
        <x:v>ORD00415</x:v>
      </x:c>
      <x:c r="B416" s="15" t="n">
        <x:v>45844</x:v>
      </x:c>
      <x:c r="C416" s="15" t="str">
        <x:v>CUST0013</x:v>
      </x:c>
      <x:c r="D416" s="15" t="str">
        <x:v>REP010</x:v>
      </x:c>
      <x:c r="E416" s="15" t="str">
        <x:v>West</x:v>
      </x:c>
      <x:c r="F416" s="15" t="str">
        <x:v>Ahmedabad</x:v>
      </x:c>
      <x:c r="G416" s="15" t="str">
        <x:v>Cancelled</x:v>
      </x:c>
      <x:c r="H416" s="15" t="str">
        <x:v>Distributor</x:v>
      </x:c>
    </x:row>
    <x:row r="417">
      <x:c r="A417" s="15" t="str">
        <x:v>ORD00416</x:v>
      </x:c>
      <x:c r="B417" s="15" t="n">
        <x:v>46187</x:v>
      </x:c>
      <x:c r="C417" s="15" t="str">
        <x:v>CUST0074</x:v>
      </x:c>
      <x:c r="D417" s="15" t="str">
        <x:v>REP001</x:v>
      </x:c>
      <x:c r="E417" s="15" t="str">
        <x:v>South</x:v>
      </x:c>
      <x:c r="F417" s="15" t="str">
        <x:v>Bengaluru</x:v>
      </x:c>
      <x:c r="G417" s="15" t="str">
        <x:v>Delivered</x:v>
      </x:c>
      <x:c r="H417" s="15" t="str">
        <x:v>Direct Sales</x:v>
      </x:c>
    </x:row>
    <x:row r="418">
      <x:c r="A418" s="15" t="str">
        <x:v>ORD00417</x:v>
      </x:c>
      <x:c r="B418" s="15" t="n">
        <x:v>45889</x:v>
      </x:c>
      <x:c r="C418" s="15" t="str">
        <x:v>CUST0029</x:v>
      </x:c>
      <x:c r="D418" s="15" t="str">
        <x:v>REP001</x:v>
      </x:c>
      <x:c r="E418" s="15" t="str">
        <x:v>South</x:v>
      </x:c>
      <x:c r="F418" s="15" t="str">
        <x:v>Chennai</x:v>
      </x:c>
      <x:c r="G418" s="15" t="str">
        <x:v>Delivered</x:v>
      </x:c>
      <x:c r="H418" s="15" t="str">
        <x:v>Direct Sales</x:v>
      </x:c>
    </x:row>
    <x:row r="419">
      <x:c r="A419" s="15" t="str">
        <x:v>ORD00418</x:v>
      </x:c>
      <x:c r="B419" s="15" t="n">
        <x:v>46035</x:v>
      </x:c>
      <x:c r="C419" s="15" t="str">
        <x:v>CUST0007</x:v>
      </x:c>
      <x:c r="D419" s="15" t="str">
        <x:v>REP016</x:v>
      </x:c>
      <x:c r="E419" s="15" t="str">
        <x:v>East</x:v>
      </x:c>
      <x:c r="F419" s="15" t="str">
        <x:v>Guwahati</x:v>
      </x:c>
      <x:c r="G419" s="15" t="str">
        <x:v>Delivered</x:v>
      </x:c>
      <x:c r="H419" s="15" t="str">
        <x:v>Online</x:v>
      </x:c>
    </x:row>
    <x:row r="420">
      <x:c r="A420" s="15" t="str">
        <x:v>ORD00419</x:v>
      </x:c>
      <x:c r="B420" s="15" t="n">
        <x:v>45972</x:v>
      </x:c>
      <x:c r="C420" s="15" t="str">
        <x:v>CUST0053</x:v>
      </x:c>
      <x:c r="D420" s="15" t="str">
        <x:v>REP006</x:v>
      </x:c>
      <x:c r="E420" s="15" t="str">
        <x:v>West</x:v>
      </x:c>
      <x:c r="F420" s="15" t="str">
        <x:v>Mumbai</x:v>
      </x:c>
      <x:c r="G420" s="15" t="str">
        <x:v>Pending</x:v>
      </x:c>
      <x:c r="H420" s="15" t="str">
        <x:v>Distributor</x:v>
      </x:c>
    </x:row>
    <x:row r="421">
      <x:c r="A421" s="15" t="str">
        <x:v>ORD00420</x:v>
      </x:c>
      <x:c r="B421" s="15" t="n">
        <x:v>45721</x:v>
      </x:c>
      <x:c r="C421" s="15" t="str">
        <x:v>CUST0077</x:v>
      </x:c>
      <x:c r="D421" s="15" t="str">
        <x:v>REP010</x:v>
      </x:c>
      <x:c r="E421" s="15" t="str">
        <x:v>West</x:v>
      </x:c>
      <x:c r="F421" s="15" t="str">
        <x:v>Pune</x:v>
      </x:c>
      <x:c r="G421" s="15" t="str">
        <x:v>Delivered</x:v>
      </x:c>
      <x:c r="H421" s="15" t="str">
        <x:v>Direct Sales</x:v>
      </x:c>
    </x:row>
    <x:row r="422">
      <x:c r="A422" s="15" t="str">
        <x:v>ORD00421</x:v>
      </x:c>
      <x:c r="B422" s="15" t="n">
        <x:v>46031</x:v>
      </x:c>
      <x:c r="C422" s="15" t="str">
        <x:v>CUST0024</x:v>
      </x:c>
      <x:c r="D422" s="15" t="str">
        <x:v>REP015</x:v>
      </x:c>
      <x:c r="E422" s="15" t="str">
        <x:v>North</x:v>
      </x:c>
      <x:c r="F422" s="15" t="str">
        <x:v>Delhi</x:v>
      </x:c>
      <x:c r="G422" s="15" t="str">
        <x:v>Pending</x:v>
      </x:c>
      <x:c r="H422" s="15" t="str">
        <x:v>Distributor</x:v>
      </x:c>
    </x:row>
    <x:row r="423">
      <x:c r="A423" s="15" t="str">
        <x:v>ORD00422</x:v>
      </x:c>
      <x:c r="B423" s="15" t="n">
        <x:v>45731</x:v>
      </x:c>
      <x:c r="C423" s="15" t="str">
        <x:v>CUST0007</x:v>
      </x:c>
      <x:c r="D423" s="15" t="str">
        <x:v>REP012</x:v>
      </x:c>
      <x:c r="E423" s="15" t="str">
        <x:v>East</x:v>
      </x:c>
      <x:c r="F423" s="15" t="str">
        <x:v>Guwahati</x:v>
      </x:c>
      <x:c r="G423" s="15" t="str">
        <x:v>Pending</x:v>
      </x:c>
      <x:c r="H423" s="15" t="str">
        <x:v>Direct Sales</x:v>
      </x:c>
    </x:row>
    <x:row r="424">
      <x:c r="A424" s="15" t="str">
        <x:v>ORD00423</x:v>
      </x:c>
      <x:c r="B424" s="15" t="n">
        <x:v>46078</x:v>
      </x:c>
      <x:c r="C424" s="15" t="str">
        <x:v>CUST0068</x:v>
      </x:c>
      <x:c r="D424" s="15" t="str">
        <x:v>REP012</x:v>
      </x:c>
      <x:c r="E424" s="15" t="str">
        <x:v>East</x:v>
      </x:c>
      <x:c r="F424" s="15" t="str">
        <x:v>Guwahati</x:v>
      </x:c>
      <x:c r="G424" s="15" t="str">
        <x:v>Delivered</x:v>
      </x:c>
      <x:c r="H424" s="15" t="str">
        <x:v>Direct Sales</x:v>
      </x:c>
    </x:row>
    <x:row r="425">
      <x:c r="A425" s="15" t="str">
        <x:v>ORD00424</x:v>
      </x:c>
      <x:c r="B425" s="15" t="n">
        <x:v>46018</x:v>
      </x:c>
      <x:c r="C425" s="15" t="str">
        <x:v>CUST0034</x:v>
      </x:c>
      <x:c r="D425" s="15" t="str">
        <x:v>REP016</x:v>
      </x:c>
      <x:c r="E425" s="15" t="str">
        <x:v>East</x:v>
      </x:c>
      <x:c r="F425" s="15" t="str">
        <x:v>Bhubaneswar</x:v>
      </x:c>
      <x:c r="G425" s="15" t="str">
        <x:v>Cancelled</x:v>
      </x:c>
      <x:c r="H425" s="15" t="str">
        <x:v>Online</x:v>
      </x:c>
    </x:row>
    <x:row r="426">
      <x:c r="A426" s="15" t="str">
        <x:v>ORD00425</x:v>
      </x:c>
      <x:c r="B426" s="15" t="n">
        <x:v>45899</x:v>
      </x:c>
      <x:c r="C426" s="15" t="str">
        <x:v>CUST0064</x:v>
      </x:c>
      <x:c r="D426" s="15" t="str">
        <x:v>REP005</x:v>
      </x:c>
      <x:c r="E426" s="15" t="str">
        <x:v>South</x:v>
      </x:c>
      <x:c r="F426" s="15" t="str">
        <x:v>Chennai</x:v>
      </x:c>
      <x:c r="G426" s="15" t="str">
        <x:v>Delivered</x:v>
      </x:c>
      <x:c r="H426" s="15" t="str">
        <x:v>Distributor</x:v>
      </x:c>
    </x:row>
    <x:row r="427">
      <x:c r="A427" s="15" t="str">
        <x:v>ORD00426</x:v>
      </x:c>
      <x:c r="B427" s="15" t="n">
        <x:v>46173</x:v>
      </x:c>
      <x:c r="C427" s="15" t="str">
        <x:v>CUST0058</x:v>
      </x:c>
      <x:c r="D427" s="15" t="str">
        <x:v>REP009</x:v>
      </x:c>
      <x:c r="E427" s="15" t="str">
        <x:v>South</x:v>
      </x:c>
      <x:c r="F427" s="15" t="str">
        <x:v>Chennai</x:v>
      </x:c>
      <x:c r="G427" s="15" t="str">
        <x:v>Delivered</x:v>
      </x:c>
      <x:c r="H427" s="15" t="str">
        <x:v>Online</x:v>
      </x:c>
    </x:row>
    <x:row r="428">
      <x:c r="A428" s="15" t="str">
        <x:v>ORD00427</x:v>
      </x:c>
      <x:c r="B428" s="15" t="n">
        <x:v>45818</x:v>
      </x:c>
      <x:c r="C428" s="15" t="str">
        <x:v>CUST0084</x:v>
      </x:c>
      <x:c r="D428" s="15" t="str">
        <x:v>REP005</x:v>
      </x:c>
      <x:c r="E428" s="15" t="str">
        <x:v>South</x:v>
      </x:c>
      <x:c r="F428" s="15" t="str">
        <x:v>Chennai</x:v>
      </x:c>
      <x:c r="G428" s="15" t="str">
        <x:v>Delivered</x:v>
      </x:c>
      <x:c r="H428" s="15" t="str">
        <x:v>Distributor</x:v>
      </x:c>
    </x:row>
    <x:row r="429">
      <x:c r="A429" s="15" t="str">
        <x:v>ORD00428</x:v>
      </x:c>
      <x:c r="B429" s="15" t="n">
        <x:v>46159</x:v>
      </x:c>
      <x:c r="C429" s="15" t="str">
        <x:v>CUST0016</x:v>
      </x:c>
      <x:c r="D429" s="15" t="str">
        <x:v>REP007</x:v>
      </x:c>
      <x:c r="E429" s="15" t="str">
        <x:v>North</x:v>
      </x:c>
      <x:c r="F429" s="15" t="str">
        <x:v>Lucknow</x:v>
      </x:c>
      <x:c r="G429" s="15" t="str">
        <x:v>Delivered</x:v>
      </x:c>
      <x:c r="H429" s="15" t="str">
        <x:v>Direct Sales</x:v>
      </x:c>
    </x:row>
    <x:row r="430">
      <x:c r="A430" s="15" t="str">
        <x:v>ORD00429</x:v>
      </x:c>
      <x:c r="B430" s="15" t="n">
        <x:v>46132</x:v>
      </x:c>
      <x:c r="C430" s="15" t="str">
        <x:v>CUST0042</x:v>
      </x:c>
      <x:c r="D430" s="15" t="str">
        <x:v>REP015</x:v>
      </x:c>
      <x:c r="E430" s="15" t="str">
        <x:v>North</x:v>
      </x:c>
      <x:c r="F430" s="15" t="str">
        <x:v>Jaipur</x:v>
      </x:c>
      <x:c r="G430" s="15" t="str">
        <x:v>Delivered</x:v>
      </x:c>
      <x:c r="H430" s="15" t="str">
        <x:v>Distributor</x:v>
      </x:c>
    </x:row>
    <x:row r="431">
      <x:c r="A431" s="15" t="str">
        <x:v>ORD00430</x:v>
      </x:c>
      <x:c r="B431" s="15" t="n">
        <x:v>45786</x:v>
      </x:c>
      <x:c r="C431" s="15" t="str">
        <x:v>CUST0046</x:v>
      </x:c>
      <x:c r="D431" s="15" t="str">
        <x:v>REP008</x:v>
      </x:c>
      <x:c r="E431" s="15" t="str">
        <x:v>East</x:v>
      </x:c>
      <x:c r="F431" s="15" t="str">
        <x:v>Bhubaneswar</x:v>
      </x:c>
      <x:c r="G431" s="15" t="str">
        <x:v>Delivered</x:v>
      </x:c>
      <x:c r="H431" s="15" t="str">
        <x:v>Distributor</x:v>
      </x:c>
    </x:row>
    <x:row r="432">
      <x:c r="A432" s="15" t="str">
        <x:v>ORD00431</x:v>
      </x:c>
      <x:c r="B432" s="15" t="n">
        <x:v>45790</x:v>
      </x:c>
      <x:c r="C432" s="15" t="str">
        <x:v>CUST0048</x:v>
      </x:c>
      <x:c r="D432" s="15" t="str">
        <x:v>REP015</x:v>
      </x:c>
      <x:c r="E432" s="15" t="str">
        <x:v>North</x:v>
      </x:c>
      <x:c r="F432" s="15" t="str">
        <x:v>Lucknow</x:v>
      </x:c>
      <x:c r="G432" s="15" t="str">
        <x:v>Delivered</x:v>
      </x:c>
      <x:c r="H432" s="15" t="str">
        <x:v>Direct Sales</x:v>
      </x:c>
    </x:row>
    <x:row r="433">
      <x:c r="A433" s="15" t="str">
        <x:v>ORD00432</x:v>
      </x:c>
      <x:c r="B433" s="15" t="n">
        <x:v>45855</x:v>
      </x:c>
      <x:c r="C433" s="15" t="str">
        <x:v>CUST0006</x:v>
      </x:c>
      <x:c r="D433" s="15" t="str">
        <x:v>REP009</x:v>
      </x:c>
      <x:c r="E433" s="15" t="str">
        <x:v>South</x:v>
      </x:c>
      <x:c r="F433" s="15" t="str">
        <x:v>Chennai</x:v>
      </x:c>
      <x:c r="G433" s="15" t="str">
        <x:v>Delivered</x:v>
      </x:c>
      <x:c r="H433" s="15" t="str">
        <x:v>Distributor</x:v>
      </x:c>
    </x:row>
    <x:row r="434">
      <x:c r="A434" s="15" t="str">
        <x:v>ORD00433</x:v>
      </x:c>
      <x:c r="B434" s="15" t="n">
        <x:v>45690</x:v>
      </x:c>
      <x:c r="C434" s="15" t="str">
        <x:v>CUST0064</x:v>
      </x:c>
      <x:c r="D434" s="15" t="str">
        <x:v>REP009</x:v>
      </x:c>
      <x:c r="E434" s="15" t="str">
        <x:v>South</x:v>
      </x:c>
      <x:c r="F434" s="15" t="str">
        <x:v>Chennai</x:v>
      </x:c>
      <x:c r="G434" s="15" t="str">
        <x:v>Delivered</x:v>
      </x:c>
      <x:c r="H434" s="15" t="str">
        <x:v>Distributor</x:v>
      </x:c>
    </x:row>
    <x:row r="435">
      <x:c r="A435" s="15" t="str">
        <x:v>ORD00434</x:v>
      </x:c>
      <x:c r="B435" s="15" t="n">
        <x:v>45869</x:v>
      </x:c>
      <x:c r="C435" s="15" t="str">
        <x:v>CUST0066</x:v>
      </x:c>
      <x:c r="D435" s="15" t="str">
        <x:v>REP014</x:v>
      </x:c>
      <x:c r="E435" s="15" t="str">
        <x:v>West</x:v>
      </x:c>
      <x:c r="F435" s="15" t="str">
        <x:v>Mumbai</x:v>
      </x:c>
      <x:c r="G435" s="15" t="str">
        <x:v>Delivered</x:v>
      </x:c>
      <x:c r="H435" s="15" t="str">
        <x:v>Online</x:v>
      </x:c>
    </x:row>
    <x:row r="436">
      <x:c r="A436" s="15" t="str">
        <x:v>ORD00435</x:v>
      </x:c>
      <x:c r="B436" s="15" t="n">
        <x:v>46035</x:v>
      </x:c>
      <x:c r="C436" s="15" t="str">
        <x:v>CUST0004</x:v>
      </x:c>
      <x:c r="D436" s="15" t="str">
        <x:v>REP008</x:v>
      </x:c>
      <x:c r="E436" s="15" t="str">
        <x:v>East</x:v>
      </x:c>
      <x:c r="F436" s="15" t="str">
        <x:v>Bhubaneswar</x:v>
      </x:c>
      <x:c r="G436" s="15" t="str">
        <x:v>Delivered</x:v>
      </x:c>
      <x:c r="H436" s="15" t="str">
        <x:v>Direct Sales</x:v>
      </x:c>
    </x:row>
    <x:row r="437">
      <x:c r="A437" s="15" t="str">
        <x:v>ORD00436</x:v>
      </x:c>
      <x:c r="B437" s="15" t="n">
        <x:v>46129</x:v>
      </x:c>
      <x:c r="C437" s="15" t="str">
        <x:v>CUST0061</x:v>
      </x:c>
      <x:c r="D437" s="15" t="str">
        <x:v>REP003</x:v>
      </x:c>
      <x:c r="E437" s="15" t="str">
        <x:v>North</x:v>
      </x:c>
      <x:c r="F437" s="15" t="str">
        <x:v>Jaipur</x:v>
      </x:c>
      <x:c r="G437" s="15" t="str">
        <x:v>Delivered</x:v>
      </x:c>
      <x:c r="H437" s="15" t="str">
        <x:v>Direct Sales</x:v>
      </x:c>
    </x:row>
    <x:row r="438">
      <x:c r="A438" s="15" t="str">
        <x:v>ORD00437</x:v>
      </x:c>
      <x:c r="B438" s="15" t="n">
        <x:v>45995</x:v>
      </x:c>
      <x:c r="C438" s="15" t="str">
        <x:v>CUST0030</x:v>
      </x:c>
      <x:c r="D438" s="15" t="str">
        <x:v>REP011</x:v>
      </x:c>
      <x:c r="E438" s="15" t="str">
        <x:v>North</x:v>
      </x:c>
      <x:c r="F438" s="15" t="str">
        <x:v>Jaipur</x:v>
      </x:c>
      <x:c r="G438" s="15" t="str">
        <x:v>Pending</x:v>
      </x:c>
      <x:c r="H438" s="15" t="str">
        <x:v>Distributor</x:v>
      </x:c>
    </x:row>
    <x:row r="439">
      <x:c r="A439" s="15" t="str">
        <x:v>ORD00438</x:v>
      </x:c>
      <x:c r="B439" s="15" t="n">
        <x:v>46080</x:v>
      </x:c>
      <x:c r="C439" s="15" t="str">
        <x:v>CUST0057</x:v>
      </x:c>
      <x:c r="D439" s="15" t="str">
        <x:v>REP003</x:v>
      </x:c>
      <x:c r="E439" s="15" t="str">
        <x:v>North</x:v>
      </x:c>
      <x:c r="F439" s="15" t="str">
        <x:v>Jaipur</x:v>
      </x:c>
      <x:c r="G439" s="15" t="str">
        <x:v>Delivered</x:v>
      </x:c>
      <x:c r="H439" s="15" t="str">
        <x:v>Direct Sales</x:v>
      </x:c>
    </x:row>
    <x:row r="440">
      <x:c r="A440" s="15" t="str">
        <x:v>ORD00439</x:v>
      </x:c>
      <x:c r="B440" s="15" t="n">
        <x:v>45801</x:v>
      </x:c>
      <x:c r="C440" s="15" t="str">
        <x:v>CUST0003</x:v>
      </x:c>
      <x:c r="D440" s="15" t="str">
        <x:v>REP010</x:v>
      </x:c>
      <x:c r="E440" s="15" t="str">
        <x:v>West</x:v>
      </x:c>
      <x:c r="F440" s="15" t="str">
        <x:v>Ahmedabad</x:v>
      </x:c>
      <x:c r="G440" s="15" t="str">
        <x:v>Delivered</x:v>
      </x:c>
      <x:c r="H440" s="15" t="str">
        <x:v>Distributor</x:v>
      </x:c>
    </x:row>
    <x:row r="441">
      <x:c r="A441" s="15" t="str">
        <x:v>ORD00440</x:v>
      </x:c>
      <x:c r="B441" s="15" t="n">
        <x:v>45745</x:v>
      </x:c>
      <x:c r="C441" s="15" t="str">
        <x:v>CUST0036</x:v>
      </x:c>
      <x:c r="D441" s="15" t="str">
        <x:v>REP014</x:v>
      </x:c>
      <x:c r="E441" s="15" t="str">
        <x:v>West</x:v>
      </x:c>
      <x:c r="F441" s="15" t="str">
        <x:v>Ahmedabad</x:v>
      </x:c>
      <x:c r="G441" s="15" t="str">
        <x:v>Delivered</x:v>
      </x:c>
      <x:c r="H441" s="15" t="str">
        <x:v>Online</x:v>
      </x:c>
    </x:row>
    <x:row r="442">
      <x:c r="A442" s="15" t="str">
        <x:v>ORD00441</x:v>
      </x:c>
      <x:c r="B442" s="15" t="n">
        <x:v>45995</x:v>
      </x:c>
      <x:c r="C442" s="15" t="str">
        <x:v>CUST0014</x:v>
      </x:c>
      <x:c r="D442" s="15" t="str">
        <x:v>REP011</x:v>
      </x:c>
      <x:c r="E442" s="15" t="str">
        <x:v>North</x:v>
      </x:c>
      <x:c r="F442" s="15" t="str">
        <x:v>Lucknow</x:v>
      </x:c>
      <x:c r="G442" s="15" t="str">
        <x:v>Cancelled</x:v>
      </x:c>
      <x:c r="H442" s="15" t="str">
        <x:v>Distributor</x:v>
      </x:c>
    </x:row>
    <x:row r="443">
      <x:c r="A443" s="15" t="str">
        <x:v>ORD00442</x:v>
      </x:c>
      <x:c r="B443" s="15" t="n">
        <x:v>45876</x:v>
      </x:c>
      <x:c r="C443" s="15" t="str">
        <x:v>CUST0091</x:v>
      </x:c>
      <x:c r="D443" s="15" t="str">
        <x:v>REP003</x:v>
      </x:c>
      <x:c r="E443" s="15" t="str">
        <x:v>North</x:v>
      </x:c>
      <x:c r="F443" s="15" t="str">
        <x:v>Delhi</x:v>
      </x:c>
      <x:c r="G443" s="15" t="str">
        <x:v>Delivered</x:v>
      </x:c>
      <x:c r="H443" s="15" t="str">
        <x:v>Direct Sales</x:v>
      </x:c>
    </x:row>
    <x:row r="444">
      <x:c r="A444" s="15" t="str">
        <x:v>ORD00443</x:v>
      </x:c>
      <x:c r="B444" s="15" t="n">
        <x:v>46106</x:v>
      </x:c>
      <x:c r="C444" s="15" t="str">
        <x:v>CUST0020</x:v>
      </x:c>
      <x:c r="D444" s="15" t="str">
        <x:v>REP002</x:v>
      </x:c>
      <x:c r="E444" s="15" t="str">
        <x:v>West</x:v>
      </x:c>
      <x:c r="F444" s="15" t="str">
        <x:v>Mumbai</x:v>
      </x:c>
      <x:c r="G444" s="15" t="str">
        <x:v>Delivered</x:v>
      </x:c>
      <x:c r="H444" s="15" t="str">
        <x:v>Distributor</x:v>
      </x:c>
    </x:row>
    <x:row r="445">
      <x:c r="A445" s="15" t="str">
        <x:v>ORD00444</x:v>
      </x:c>
      <x:c r="B445" s="15" t="n">
        <x:v>45956</x:v>
      </x:c>
      <x:c r="C445" s="15" t="str">
        <x:v>CUST0099</x:v>
      </x:c>
      <x:c r="D445" s="15" t="str">
        <x:v>REP007</x:v>
      </x:c>
      <x:c r="E445" s="15" t="str">
        <x:v>North</x:v>
      </x:c>
      <x:c r="F445" s="15" t="str">
        <x:v>Lucknow</x:v>
      </x:c>
      <x:c r="G445" s="15" t="str">
        <x:v>Delivered</x:v>
      </x:c>
      <x:c r="H445" s="15" t="str">
        <x:v>Distributor</x:v>
      </x:c>
    </x:row>
    <x:row r="446">
      <x:c r="A446" s="15" t="str">
        <x:v>ORD00445</x:v>
      </x:c>
      <x:c r="B446" s="15" t="n">
        <x:v>46130</x:v>
      </x:c>
      <x:c r="C446" s="15" t="str">
        <x:v>CUST0065</x:v>
      </x:c>
      <x:c r="D446" s="15" t="str">
        <x:v>REP003</x:v>
      </x:c>
      <x:c r="E446" s="15" t="str">
        <x:v>North</x:v>
      </x:c>
      <x:c r="F446" s="15" t="str">
        <x:v>Jaipur</x:v>
      </x:c>
      <x:c r="G446" s="15" t="str">
        <x:v>Delivered</x:v>
      </x:c>
      <x:c r="H446" s="15" t="str">
        <x:v>Distributor</x:v>
      </x:c>
    </x:row>
    <x:row r="447">
      <x:c r="A447" s="15" t="str">
        <x:v>ORD00446</x:v>
      </x:c>
      <x:c r="B447" s="15" t="n">
        <x:v>46003</x:v>
      </x:c>
      <x:c r="C447" s="15" t="str">
        <x:v>CUST0024</x:v>
      </x:c>
      <x:c r="D447" s="15" t="str">
        <x:v>REP011</x:v>
      </x:c>
      <x:c r="E447" s="15" t="str">
        <x:v>North</x:v>
      </x:c>
      <x:c r="F447" s="15" t="str">
        <x:v>Delhi</x:v>
      </x:c>
      <x:c r="G447" s="15" t="str">
        <x:v>Delivered</x:v>
      </x:c>
      <x:c r="H447" s="15" t="str">
        <x:v>Direct Sales</x:v>
      </x:c>
    </x:row>
    <x:row r="448">
      <x:c r="A448" s="15" t="str">
        <x:v>ORD00447</x:v>
      </x:c>
      <x:c r="B448" s="15" t="n">
        <x:v>45824</x:v>
      </x:c>
      <x:c r="C448" s="15" t="str">
        <x:v>CUST0018</x:v>
      </x:c>
      <x:c r="D448" s="15" t="str">
        <x:v>REP011</x:v>
      </x:c>
      <x:c r="E448" s="15" t="str">
        <x:v>North</x:v>
      </x:c>
      <x:c r="F448" s="15" t="str">
        <x:v>Jaipur</x:v>
      </x:c>
      <x:c r="G448" s="15" t="str">
        <x:v>Delivered</x:v>
      </x:c>
      <x:c r="H448" s="15" t="str">
        <x:v>Direct Sales</x:v>
      </x:c>
    </x:row>
    <x:row r="449">
      <x:c r="A449" s="15" t="str">
        <x:v>ORD00448</x:v>
      </x:c>
      <x:c r="B449" s="15" t="n">
        <x:v>46080</x:v>
      </x:c>
      <x:c r="C449" s="15" t="str">
        <x:v>CUST0046</x:v>
      </x:c>
      <x:c r="D449" s="15" t="str">
        <x:v>REP012</x:v>
      </x:c>
      <x:c r="E449" s="15" t="str">
        <x:v>East</x:v>
      </x:c>
      <x:c r="F449" s="15" t="str">
        <x:v>Bhubaneswar</x:v>
      </x:c>
      <x:c r="G449" s="15" t="str">
        <x:v>Delivered</x:v>
      </x:c>
      <x:c r="H449" s="15" t="str">
        <x:v>Direct Sales</x:v>
      </x:c>
    </x:row>
    <x:row r="450">
      <x:c r="A450" s="15" t="str">
        <x:v>ORD00449</x:v>
      </x:c>
      <x:c r="B450" s="15" t="n">
        <x:v>45833</x:v>
      </x:c>
      <x:c r="C450" s="15" t="str">
        <x:v>CUST0070</x:v>
      </x:c>
      <x:c r="D450" s="15" t="str">
        <x:v>REP007</x:v>
      </x:c>
      <x:c r="E450" s="15" t="str">
        <x:v>North</x:v>
      </x:c>
      <x:c r="F450" s="15" t="str">
        <x:v>Lucknow</x:v>
      </x:c>
      <x:c r="G450" s="15" t="str">
        <x:v>Pending</x:v>
      </x:c>
      <x:c r="H450" s="15" t="str">
        <x:v>Distributor</x:v>
      </x:c>
    </x:row>
    <x:row r="451">
      <x:c r="A451" s="15" t="str">
        <x:v>ORD00450</x:v>
      </x:c>
      <x:c r="B451" s="15" t="n">
        <x:v>45947</x:v>
      </x:c>
      <x:c r="C451" s="15" t="str">
        <x:v>CUST0072</x:v>
      </x:c>
      <x:c r="D451" s="15" t="str">
        <x:v>REP013</x:v>
      </x:c>
      <x:c r="E451" s="15" t="str">
        <x:v>South</x:v>
      </x:c>
      <x:c r="F451" s="15" t="str">
        <x:v>Bengaluru</x:v>
      </x:c>
      <x:c r="G451" s="15" t="str">
        <x:v>Delivered</x:v>
      </x:c>
      <x:c r="H451" s="15" t="str">
        <x:v>Online</x:v>
      </x:c>
    </x:row>
    <x:row r="452">
      <x:c r="A452" s="15" t="str">
        <x:v>ORD00451</x:v>
      </x:c>
      <x:c r="B452" s="15" t="n">
        <x:v>46062</x:v>
      </x:c>
      <x:c r="C452" s="15" t="str">
        <x:v>CUST0008</x:v>
      </x:c>
      <x:c r="D452" s="15" t="str">
        <x:v>REP013</x:v>
      </x:c>
      <x:c r="E452" s="15" t="str">
        <x:v>South</x:v>
      </x:c>
      <x:c r="F452" s="15" t="str">
        <x:v>Chennai</x:v>
      </x:c>
      <x:c r="G452" s="15" t="str">
        <x:v>Cancelled</x:v>
      </x:c>
      <x:c r="H452" s="15" t="str">
        <x:v>Distributor</x:v>
      </x:c>
    </x:row>
    <x:row r="453">
      <x:c r="A453" s="15" t="str">
        <x:v>ORD00452</x:v>
      </x:c>
      <x:c r="B453" s="15" t="n">
        <x:v>45751</x:v>
      </x:c>
      <x:c r="C453" s="15" t="str">
        <x:v>CUST0030</x:v>
      </x:c>
      <x:c r="D453" s="15" t="str">
        <x:v>REP011</x:v>
      </x:c>
      <x:c r="E453" s="15" t="str">
        <x:v>North</x:v>
      </x:c>
      <x:c r="F453" s="15" t="str">
        <x:v>Jaipur</x:v>
      </x:c>
      <x:c r="G453" s="15" t="str">
        <x:v>Pending</x:v>
      </x:c>
      <x:c r="H453" s="15" t="str">
        <x:v>Online</x:v>
      </x:c>
    </x:row>
    <x:row r="454">
      <x:c r="A454" s="15" t="str">
        <x:v>ORD00453</x:v>
      </x:c>
      <x:c r="B454" s="15" t="n">
        <x:v>46100</x:v>
      </x:c>
      <x:c r="C454" s="15" t="str">
        <x:v>CUST0063</x:v>
      </x:c>
      <x:c r="D454" s="15" t="str">
        <x:v>REP007</x:v>
      </x:c>
      <x:c r="E454" s="15" t="str">
        <x:v>North</x:v>
      </x:c>
      <x:c r="F454" s="15" t="str">
        <x:v>Delhi</x:v>
      </x:c>
      <x:c r="G454" s="15" t="str">
        <x:v>Delivered</x:v>
      </x:c>
      <x:c r="H454" s="15" t="str">
        <x:v>Distributor</x:v>
      </x:c>
    </x:row>
    <x:row r="455">
      <x:c r="A455" s="15" t="str">
        <x:v>ORD00454</x:v>
      </x:c>
      <x:c r="B455" s="15" t="n">
        <x:v>45734</x:v>
      </x:c>
      <x:c r="C455" s="15" t="str">
        <x:v>CUST0005</x:v>
      </x:c>
      <x:c r="D455" s="15" t="str">
        <x:v>REP006</x:v>
      </x:c>
      <x:c r="E455" s="15" t="str">
        <x:v>West</x:v>
      </x:c>
      <x:c r="F455" s="15" t="str">
        <x:v>Mumbai</x:v>
      </x:c>
      <x:c r="G455" s="15" t="str">
        <x:v>Delivered</x:v>
      </x:c>
      <x:c r="H455" s="15" t="str">
        <x:v>Online</x:v>
      </x:c>
    </x:row>
    <x:row r="456">
      <x:c r="A456" s="15" t="str">
        <x:v>ORD00455</x:v>
      </x:c>
      <x:c r="B456" s="15" t="n">
        <x:v>46007</x:v>
      </x:c>
      <x:c r="C456" s="15" t="str">
        <x:v>CUST0062</x:v>
      </x:c>
      <x:c r="D456" s="15" t="str">
        <x:v>REP001</x:v>
      </x:c>
      <x:c r="E456" s="15" t="str">
        <x:v>South</x:v>
      </x:c>
      <x:c r="F456" s="15" t="str">
        <x:v>Chennai</x:v>
      </x:c>
      <x:c r="G456" s="15" t="str">
        <x:v>Cancelled</x:v>
      </x:c>
      <x:c r="H456" s="15" t="str">
        <x:v>Direct Sales</x:v>
      </x:c>
    </x:row>
    <x:row r="457">
      <x:c r="A457" s="15" t="str">
        <x:v>ORD00456</x:v>
      </x:c>
      <x:c r="B457" s="15" t="n">
        <x:v>46060</x:v>
      </x:c>
      <x:c r="C457" s="15" t="str">
        <x:v>CUST0062</x:v>
      </x:c>
      <x:c r="D457" s="15" t="str">
        <x:v>REP001</x:v>
      </x:c>
      <x:c r="E457" s="15" t="str">
        <x:v>South</x:v>
      </x:c>
      <x:c r="F457" s="15" t="str">
        <x:v>Chennai</x:v>
      </x:c>
      <x:c r="G457" s="15" t="str">
        <x:v>Delivered</x:v>
      </x:c>
      <x:c r="H457" s="15" t="str">
        <x:v>Direct Sales</x:v>
      </x:c>
    </x:row>
    <x:row r="458">
      <x:c r="A458" s="15" t="str">
        <x:v>ORD00457</x:v>
      </x:c>
      <x:c r="B458" s="15" t="n">
        <x:v>46176</x:v>
      </x:c>
      <x:c r="C458" s="15" t="str">
        <x:v>CUST0080</x:v>
      </x:c>
      <x:c r="D458" s="15" t="str">
        <x:v>REP015</x:v>
      </x:c>
      <x:c r="E458" s="15" t="str">
        <x:v>North</x:v>
      </x:c>
      <x:c r="F458" s="15" t="str">
        <x:v>Jaipur</x:v>
      </x:c>
      <x:c r="G458" s="15" t="str">
        <x:v>Pending</x:v>
      </x:c>
      <x:c r="H458" s="15" t="str">
        <x:v>Direct Sales</x:v>
      </x:c>
    </x:row>
    <x:row r="459">
      <x:c r="A459" s="15" t="str">
        <x:v>ORD00458</x:v>
      </x:c>
      <x:c r="B459" s="15" t="n">
        <x:v>45723</x:v>
      </x:c>
      <x:c r="C459" s="15" t="str">
        <x:v>CUST0062</x:v>
      </x:c>
      <x:c r="D459" s="15" t="str">
        <x:v>REP013</x:v>
      </x:c>
      <x:c r="E459" s="15" t="str">
        <x:v>South</x:v>
      </x:c>
      <x:c r="F459" s="15" t="str">
        <x:v>Chennai</x:v>
      </x:c>
      <x:c r="G459" s="15" t="str">
        <x:v>Delivered</x:v>
      </x:c>
      <x:c r="H459" s="15" t="str">
        <x:v>Online</x:v>
      </x:c>
    </x:row>
    <x:row r="460">
      <x:c r="A460" s="15" t="str">
        <x:v>ORD00459</x:v>
      </x:c>
      <x:c r="B460" s="15" t="n">
        <x:v>45869</x:v>
      </x:c>
      <x:c r="C460" s="15" t="str">
        <x:v>CUST0076</x:v>
      </x:c>
      <x:c r="D460" s="15" t="str">
        <x:v>REP007</x:v>
      </x:c>
      <x:c r="E460" s="15" t="str">
        <x:v>North</x:v>
      </x:c>
      <x:c r="F460" s="15" t="str">
        <x:v>Jaipur</x:v>
      </x:c>
      <x:c r="G460" s="15" t="str">
        <x:v>Delivered</x:v>
      </x:c>
      <x:c r="H460" s="15" t="str">
        <x:v>Direct Sales</x:v>
      </x:c>
    </x:row>
    <x:row r="461">
      <x:c r="A461" s="15" t="str">
        <x:v>ORD00460</x:v>
      </x:c>
      <x:c r="B461" s="15" t="n">
        <x:v>45981</x:v>
      </x:c>
      <x:c r="C461" s="15" t="str">
        <x:v>CUST0054</x:v>
      </x:c>
      <x:c r="D461" s="15" t="str">
        <x:v>REP004</x:v>
      </x:c>
      <x:c r="E461" s="15" t="str">
        <x:v>East</x:v>
      </x:c>
      <x:c r="F461" s="15" t="str">
        <x:v>Guwahati</x:v>
      </x:c>
      <x:c r="G461" s="15" t="str">
        <x:v>Delivered</x:v>
      </x:c>
      <x:c r="H461" s="15" t="str">
        <x:v>Direct Sales</x:v>
      </x:c>
    </x:row>
    <x:row r="462">
      <x:c r="A462" s="15" t="str">
        <x:v>ORD00461</x:v>
      </x:c>
      <x:c r="B462" s="15" t="n">
        <x:v>45826</x:v>
      </x:c>
      <x:c r="C462" s="15" t="str">
        <x:v>CUST0003</x:v>
      </x:c>
      <x:c r="D462" s="15" t="str">
        <x:v>REP014</x:v>
      </x:c>
      <x:c r="E462" s="15" t="str">
        <x:v>West</x:v>
      </x:c>
      <x:c r="F462" s="15" t="str">
        <x:v>Ahmedabad</x:v>
      </x:c>
      <x:c r="G462" s="15" t="str">
        <x:v>Delivered</x:v>
      </x:c>
      <x:c r="H462" s="15" t="str">
        <x:v>Online</x:v>
      </x:c>
    </x:row>
    <x:row r="463">
      <x:c r="A463" s="15" t="str">
        <x:v>ORD00462</x:v>
      </x:c>
      <x:c r="B463" s="15" t="n">
        <x:v>46182</x:v>
      </x:c>
      <x:c r="C463" s="15" t="str">
        <x:v>CUST0038</x:v>
      </x:c>
      <x:c r="D463" s="15" t="str">
        <x:v>REP006</x:v>
      </x:c>
      <x:c r="E463" s="15" t="str">
        <x:v>West</x:v>
      </x:c>
      <x:c r="F463" s="15" t="str">
        <x:v>Ahmedabad</x:v>
      </x:c>
      <x:c r="G463" s="15" t="str">
        <x:v>Delivered</x:v>
      </x:c>
      <x:c r="H463" s="15" t="str">
        <x:v>Online</x:v>
      </x:c>
    </x:row>
    <x:row r="464">
      <x:c r="A464" s="15" t="str">
        <x:v>ORD00463</x:v>
      </x:c>
      <x:c r="B464" s="15" t="n">
        <x:v>45839</x:v>
      </x:c>
      <x:c r="C464" s="15" t="str">
        <x:v>CUST0092</x:v>
      </x:c>
      <x:c r="D464" s="15" t="str">
        <x:v>REP007</x:v>
      </x:c>
      <x:c r="E464" s="15" t="str">
        <x:v>North</x:v>
      </x:c>
      <x:c r="F464" s="15" t="str">
        <x:v>Delhi</x:v>
      </x:c>
      <x:c r="G464" s="15" t="str">
        <x:v>Delivered</x:v>
      </x:c>
      <x:c r="H464" s="15" t="str">
        <x:v>Online</x:v>
      </x:c>
    </x:row>
    <x:row r="465">
      <x:c r="A465" s="15" t="str">
        <x:v>ORD00464</x:v>
      </x:c>
      <x:c r="B465" s="15" t="n">
        <x:v>45832</x:v>
      </x:c>
      <x:c r="C465" s="15" t="str">
        <x:v>CUST0059</x:v>
      </x:c>
      <x:c r="D465" s="15" t="str">
        <x:v>REP002</x:v>
      </x:c>
      <x:c r="E465" s="15" t="str">
        <x:v>West</x:v>
      </x:c>
      <x:c r="F465" s="15" t="str">
        <x:v>Pune</x:v>
      </x:c>
      <x:c r="G465" s="15" t="str">
        <x:v>Cancelled</x:v>
      </x:c>
      <x:c r="H465" s="15" t="str">
        <x:v>Online</x:v>
      </x:c>
    </x:row>
    <x:row r="466">
      <x:c r="A466" s="15" t="str">
        <x:v>ORD00465</x:v>
      </x:c>
      <x:c r="B466" s="15" t="n">
        <x:v>46177</x:v>
      </x:c>
      <x:c r="C466" s="15" t="str">
        <x:v>CUST0057</x:v>
      </x:c>
      <x:c r="D466" s="15" t="str">
        <x:v>REP003</x:v>
      </x:c>
      <x:c r="E466" s="15" t="str">
        <x:v>North</x:v>
      </x:c>
      <x:c r="F466" s="15" t="str">
        <x:v>Jaipur</x:v>
      </x:c>
      <x:c r="G466" s="15" t="str">
        <x:v>Pending</x:v>
      </x:c>
      <x:c r="H466" s="15" t="str">
        <x:v>Distributor</x:v>
      </x:c>
    </x:row>
    <x:row r="467">
      <x:c r="A467" s="15" t="str">
        <x:v>ORD00466</x:v>
      </x:c>
      <x:c r="B467" s="15" t="n">
        <x:v>45859</x:v>
      </x:c>
      <x:c r="C467" s="15" t="str">
        <x:v>CUST0056</x:v>
      </x:c>
      <x:c r="D467" s="15" t="str">
        <x:v>REP010</x:v>
      </x:c>
      <x:c r="E467" s="15" t="str">
        <x:v>West</x:v>
      </x:c>
      <x:c r="F467" s="15" t="str">
        <x:v>Mumbai</x:v>
      </x:c>
      <x:c r="G467" s="15" t="str">
        <x:v>Delivered</x:v>
      </x:c>
      <x:c r="H467" s="15" t="str">
        <x:v>Online</x:v>
      </x:c>
    </x:row>
    <x:row r="468">
      <x:c r="A468" s="15" t="str">
        <x:v>ORD00467</x:v>
      </x:c>
      <x:c r="B468" s="15" t="n">
        <x:v>45745</x:v>
      </x:c>
      <x:c r="C468" s="15" t="str">
        <x:v>CUST0014</x:v>
      </x:c>
      <x:c r="D468" s="15" t="str">
        <x:v>REP007</x:v>
      </x:c>
      <x:c r="E468" s="15" t="str">
        <x:v>North</x:v>
      </x:c>
      <x:c r="F468" s="15" t="str">
        <x:v>Lucknow</x:v>
      </x:c>
      <x:c r="G468" s="15" t="str">
        <x:v>Delivered</x:v>
      </x:c>
      <x:c r="H468" s="15" t="str">
        <x:v>Direct Sales</x:v>
      </x:c>
    </x:row>
    <x:row r="469">
      <x:c r="A469" s="15" t="str">
        <x:v>ORD00468</x:v>
      </x:c>
      <x:c r="B469" s="15" t="n">
        <x:v>45808</x:v>
      </x:c>
      <x:c r="C469" s="15" t="str">
        <x:v>CUST0055</x:v>
      </x:c>
      <x:c r="D469" s="15" t="str">
        <x:v>REP007</x:v>
      </x:c>
      <x:c r="E469" s="15" t="str">
        <x:v>North</x:v>
      </x:c>
      <x:c r="F469" s="15" t="str">
        <x:v>Jaipur</x:v>
      </x:c>
      <x:c r="G469" s="15" t="str">
        <x:v>Delivered</x:v>
      </x:c>
      <x:c r="H469" s="15" t="str">
        <x:v>Online</x:v>
      </x:c>
    </x:row>
    <x:row r="470">
      <x:c r="A470" s="15" t="str">
        <x:v>ORD00469</x:v>
      </x:c>
      <x:c r="B470" s="15" t="n">
        <x:v>45868</x:v>
      </x:c>
      <x:c r="C470" s="15" t="str">
        <x:v>CUST0012</x:v>
      </x:c>
      <x:c r="D470" s="15" t="str">
        <x:v>REP008</x:v>
      </x:c>
      <x:c r="E470" s="15" t="str">
        <x:v>East</x:v>
      </x:c>
      <x:c r="F470" s="15" t="str">
        <x:v>Bhubaneswar</x:v>
      </x:c>
      <x:c r="G470" s="15" t="str">
        <x:v>Delivered</x:v>
      </x:c>
      <x:c r="H470" s="15" t="str">
        <x:v>Online</x:v>
      </x:c>
    </x:row>
    <x:row r="471">
      <x:c r="A471" s="15" t="str">
        <x:v>ORD00470</x:v>
      </x:c>
      <x:c r="B471" s="15" t="n">
        <x:v>45953</x:v>
      </x:c>
      <x:c r="C471" s="15" t="str">
        <x:v>CUST0049</x:v>
      </x:c>
      <x:c r="D471" s="15" t="str">
        <x:v>REP012</x:v>
      </x:c>
      <x:c r="E471" s="15" t="str">
        <x:v>East</x:v>
      </x:c>
      <x:c r="F471" s="15" t="str">
        <x:v>Bhubaneswar</x:v>
      </x:c>
      <x:c r="G471" s="15" t="str">
        <x:v>Delivered</x:v>
      </x:c>
      <x:c r="H471" s="15" t="str">
        <x:v>Direct Sales</x:v>
      </x:c>
    </x:row>
    <x:row r="472">
      <x:c r="A472" s="15" t="str">
        <x:v>ORD00471</x:v>
      </x:c>
      <x:c r="B472" s="15" t="n">
        <x:v>45721</x:v>
      </x:c>
      <x:c r="C472" s="15" t="str">
        <x:v>CUST0061</x:v>
      </x:c>
      <x:c r="D472" s="15" t="str">
        <x:v>REP015</x:v>
      </x:c>
      <x:c r="E472" s="15" t="str">
        <x:v>North</x:v>
      </x:c>
      <x:c r="F472" s="15" t="str">
        <x:v>Jaipur</x:v>
      </x:c>
      <x:c r="G472" s="15" t="str">
        <x:v>Delivered</x:v>
      </x:c>
      <x:c r="H472" s="15" t="str">
        <x:v>Direct Sales</x:v>
      </x:c>
    </x:row>
    <x:row r="473">
      <x:c r="A473" s="15" t="str">
        <x:v>ORD00472</x:v>
      </x:c>
      <x:c r="B473" s="15" t="n">
        <x:v>45787</x:v>
      </x:c>
      <x:c r="C473" s="15" t="str">
        <x:v>CUST0006</x:v>
      </x:c>
      <x:c r="D473" s="15" t="str">
        <x:v>REP005</x:v>
      </x:c>
      <x:c r="E473" s="15" t="str">
        <x:v>South</x:v>
      </x:c>
      <x:c r="F473" s="15" t="str">
        <x:v>Chennai</x:v>
      </x:c>
      <x:c r="G473" s="15" t="str">
        <x:v>Delivered</x:v>
      </x:c>
      <x:c r="H473" s="15" t="str">
        <x:v>Direct Sales</x:v>
      </x:c>
    </x:row>
    <x:row r="474">
      <x:c r="A474" s="15" t="str">
        <x:v>ORD00473</x:v>
      </x:c>
      <x:c r="B474" s="15" t="n">
        <x:v>45866</x:v>
      </x:c>
      <x:c r="C474" s="15" t="str">
        <x:v>CUST0013</x:v>
      </x:c>
      <x:c r="D474" s="15" t="str">
        <x:v>REP014</x:v>
      </x:c>
      <x:c r="E474" s="15" t="str">
        <x:v>West</x:v>
      </x:c>
      <x:c r="F474" s="15" t="str">
        <x:v>Ahmedabad</x:v>
      </x:c>
      <x:c r="G474" s="15" t="str">
        <x:v>Delivered</x:v>
      </x:c>
      <x:c r="H474" s="15" t="str">
        <x:v>Distributor</x:v>
      </x:c>
    </x:row>
    <x:row r="475">
      <x:c r="A475" s="15" t="str">
        <x:v>ORD00474</x:v>
      </x:c>
      <x:c r="B475" s="15" t="n">
        <x:v>46172</x:v>
      </x:c>
      <x:c r="C475" s="15" t="str">
        <x:v>CUST0060</x:v>
      </x:c>
      <x:c r="D475" s="15" t="str">
        <x:v>REP004</x:v>
      </x:c>
      <x:c r="E475" s="15" t="str">
        <x:v>East</x:v>
      </x:c>
      <x:c r="F475" s="15" t="str">
        <x:v>Kolkata</x:v>
      </x:c>
      <x:c r="G475" s="15" t="str">
        <x:v>Delivered</x:v>
      </x:c>
      <x:c r="H475" s="15" t="str">
        <x:v>Direct Sales</x:v>
      </x:c>
    </x:row>
    <x:row r="476">
      <x:c r="A476" s="15" t="str">
        <x:v>ORD00475</x:v>
      </x:c>
      <x:c r="B476" s="15" t="n">
        <x:v>46145</x:v>
      </x:c>
      <x:c r="C476" s="15" t="str">
        <x:v>CUST0021</x:v>
      </x:c>
      <x:c r="D476" s="15" t="str">
        <x:v>REP005</x:v>
      </x:c>
      <x:c r="E476" s="15" t="str">
        <x:v>South</x:v>
      </x:c>
      <x:c r="F476" s="15" t="str">
        <x:v>Bengaluru</x:v>
      </x:c>
      <x:c r="G476" s="15" t="str">
        <x:v>Delivered</x:v>
      </x:c>
      <x:c r="H476" s="15" t="str">
        <x:v>Online</x:v>
      </x:c>
    </x:row>
    <x:row r="477">
      <x:c r="A477" s="15" t="str">
        <x:v>ORD00476</x:v>
      </x:c>
      <x:c r="B477" s="15" t="n">
        <x:v>45705</x:v>
      </x:c>
      <x:c r="C477" s="15" t="str">
        <x:v>CUST0082</x:v>
      </x:c>
      <x:c r="D477" s="15" t="str">
        <x:v>REP016</x:v>
      </x:c>
      <x:c r="E477" s="15" t="str">
        <x:v>East</x:v>
      </x:c>
      <x:c r="F477" s="15" t="str">
        <x:v>Guwahati</x:v>
      </x:c>
      <x:c r="G477" s="15" t="str">
        <x:v>Delivered</x:v>
      </x:c>
      <x:c r="H477" s="15" t="str">
        <x:v>Online</x:v>
      </x:c>
    </x:row>
    <x:row r="478">
      <x:c r="A478" s="15" t="str">
        <x:v>ORD00477</x:v>
      </x:c>
      <x:c r="B478" s="15" t="n">
        <x:v>46065</x:v>
      </x:c>
      <x:c r="C478" s="15" t="str">
        <x:v>CUST0023</x:v>
      </x:c>
      <x:c r="D478" s="15" t="str">
        <x:v>REP016</x:v>
      </x:c>
      <x:c r="E478" s="15" t="str">
        <x:v>East</x:v>
      </x:c>
      <x:c r="F478" s="15" t="str">
        <x:v>Bhubaneswar</x:v>
      </x:c>
      <x:c r="G478" s="15" t="str">
        <x:v>Delivered</x:v>
      </x:c>
      <x:c r="H478" s="15" t="str">
        <x:v>Distributor</x:v>
      </x:c>
    </x:row>
    <x:row r="479">
      <x:c r="A479" s="15" t="str">
        <x:v>ORD00478</x:v>
      </x:c>
      <x:c r="B479" s="15" t="n">
        <x:v>45832</x:v>
      </x:c>
      <x:c r="C479" s="15" t="str">
        <x:v>CUST0081</x:v>
      </x:c>
      <x:c r="D479" s="15" t="str">
        <x:v>REP010</x:v>
      </x:c>
      <x:c r="E479" s="15" t="str">
        <x:v>West</x:v>
      </x:c>
      <x:c r="F479" s="15" t="str">
        <x:v>Mumbai</x:v>
      </x:c>
      <x:c r="G479" s="15" t="str">
        <x:v>Delivered</x:v>
      </x:c>
      <x:c r="H479" s="15" t="str">
        <x:v>Distributor</x:v>
      </x:c>
    </x:row>
    <x:row r="480">
      <x:c r="A480" s="15" t="str">
        <x:v>ORD00479</x:v>
      </x:c>
      <x:c r="B480" s="15" t="n">
        <x:v>45969</x:v>
      </x:c>
      <x:c r="C480" s="15" t="str">
        <x:v>CUST0003</x:v>
      </x:c>
      <x:c r="D480" s="15" t="str">
        <x:v>REP010</x:v>
      </x:c>
      <x:c r="E480" s="15" t="str">
        <x:v>West</x:v>
      </x:c>
      <x:c r="F480" s="15" t="str">
        <x:v>Ahmedabad</x:v>
      </x:c>
      <x:c r="G480" s="15" t="str">
        <x:v>Delivered</x:v>
      </x:c>
      <x:c r="H480" s="15" t="str">
        <x:v>Distributor</x:v>
      </x:c>
    </x:row>
    <x:row r="481">
      <x:c r="A481" s="15" t="str">
        <x:v>ORD00480</x:v>
      </x:c>
      <x:c r="B481" s="15" t="n">
        <x:v>46075</x:v>
      </x:c>
      <x:c r="C481" s="15" t="str">
        <x:v>CUST0023</x:v>
      </x:c>
      <x:c r="D481" s="15" t="str">
        <x:v>REP008</x:v>
      </x:c>
      <x:c r="E481" s="15" t="str">
        <x:v>East</x:v>
      </x:c>
      <x:c r="F481" s="15" t="str">
        <x:v>Bhubaneswar</x:v>
      </x:c>
      <x:c r="G481" s="15" t="str">
        <x:v>Cancelled</x:v>
      </x:c>
      <x:c r="H481" s="15" t="str">
        <x:v>Online</x:v>
      </x:c>
    </x:row>
    <x:row r="482">
      <x:c r="A482" s="15" t="str">
        <x:v>ORD00481</x:v>
      </x:c>
      <x:c r="B482" s="15" t="n">
        <x:v>45856</x:v>
      </x:c>
      <x:c r="C482" s="15" t="str">
        <x:v>CUST0020</x:v>
      </x:c>
      <x:c r="D482" s="15" t="str">
        <x:v>REP006</x:v>
      </x:c>
      <x:c r="E482" s="15" t="str">
        <x:v>West</x:v>
      </x:c>
      <x:c r="F482" s="15" t="str">
        <x:v>Mumbai</x:v>
      </x:c>
      <x:c r="G482" s="15" t="str">
        <x:v>Cancelled</x:v>
      </x:c>
      <x:c r="H482" s="15" t="str">
        <x:v>Online</x:v>
      </x:c>
    </x:row>
    <x:row r="483">
      <x:c r="A483" s="15" t="str">
        <x:v>ORD00482</x:v>
      </x:c>
      <x:c r="B483" s="15" t="n">
        <x:v>45675</x:v>
      </x:c>
      <x:c r="C483" s="15" t="str">
        <x:v>CUST0037</x:v>
      </x:c>
      <x:c r="D483" s="15" t="str">
        <x:v>REP016</x:v>
      </x:c>
      <x:c r="E483" s="15" t="str">
        <x:v>East</x:v>
      </x:c>
      <x:c r="F483" s="15" t="str">
        <x:v>Guwahati</x:v>
      </x:c>
      <x:c r="G483" s="15" t="str">
        <x:v>Delivered</x:v>
      </x:c>
      <x:c r="H483" s="15" t="str">
        <x:v>Direct Sales</x:v>
      </x:c>
    </x:row>
    <x:row r="484">
      <x:c r="A484" s="15" t="str">
        <x:v>ORD00483</x:v>
      </x:c>
      <x:c r="B484" s="15" t="n">
        <x:v>45991</x:v>
      </x:c>
      <x:c r="C484" s="15" t="str">
        <x:v>CUST0025</x:v>
      </x:c>
      <x:c r="D484" s="15" t="str">
        <x:v>REP015</x:v>
      </x:c>
      <x:c r="E484" s="15" t="str">
        <x:v>North</x:v>
      </x:c>
      <x:c r="F484" s="15" t="str">
        <x:v>Lucknow</x:v>
      </x:c>
      <x:c r="G484" s="15" t="str">
        <x:v>Pending</x:v>
      </x:c>
      <x:c r="H484" s="15" t="str">
        <x:v>Distributor</x:v>
      </x:c>
    </x:row>
    <x:row r="485">
      <x:c r="A485" s="15" t="str">
        <x:v>ORD00484</x:v>
      </x:c>
      <x:c r="B485" s="15" t="n">
        <x:v>45883</x:v>
      </x:c>
      <x:c r="C485" s="15" t="str">
        <x:v>CUST0007</x:v>
      </x:c>
      <x:c r="D485" s="15" t="str">
        <x:v>REP004</x:v>
      </x:c>
      <x:c r="E485" s="15" t="str">
        <x:v>East</x:v>
      </x:c>
      <x:c r="F485" s="15" t="str">
        <x:v>Guwahati</x:v>
      </x:c>
      <x:c r="G485" s="15" t="str">
        <x:v>Cancelled</x:v>
      </x:c>
      <x:c r="H485" s="15" t="str">
        <x:v>Online</x:v>
      </x:c>
    </x:row>
    <x:row r="486">
      <x:c r="A486" s="15" t="str">
        <x:v>ORD00485</x:v>
      </x:c>
      <x:c r="B486" s="15" t="n">
        <x:v>45858</x:v>
      </x:c>
      <x:c r="C486" s="15" t="str">
        <x:v>CUST0097</x:v>
      </x:c>
      <x:c r="D486" s="15" t="str">
        <x:v>REP015</x:v>
      </x:c>
      <x:c r="E486" s="15" t="str">
        <x:v>North</x:v>
      </x:c>
      <x:c r="F486" s="15" t="str">
        <x:v>Jaipur</x:v>
      </x:c>
      <x:c r="G486" s="15" t="str">
        <x:v>Delivered</x:v>
      </x:c>
      <x:c r="H486" s="15" t="str">
        <x:v>Online</x:v>
      </x:c>
    </x:row>
    <x:row r="487">
      <x:c r="A487" s="15" t="str">
        <x:v>ORD00486</x:v>
      </x:c>
      <x:c r="B487" s="15" t="n">
        <x:v>45925</x:v>
      </x:c>
      <x:c r="C487" s="15" t="str">
        <x:v>CUST0019</x:v>
      </x:c>
      <x:c r="D487" s="15" t="str">
        <x:v>REP011</x:v>
      </x:c>
      <x:c r="E487" s="15" t="str">
        <x:v>North</x:v>
      </x:c>
      <x:c r="F487" s="15" t="str">
        <x:v>Delhi</x:v>
      </x:c>
      <x:c r="G487" s="15" t="str">
        <x:v>Delivered</x:v>
      </x:c>
      <x:c r="H487" s="15" t="str">
        <x:v>Distributor</x:v>
      </x:c>
    </x:row>
    <x:row r="488">
      <x:c r="A488" s="15" t="str">
        <x:v>ORD00487</x:v>
      </x:c>
      <x:c r="B488" s="15" t="n">
        <x:v>45852</x:v>
      </x:c>
      <x:c r="C488" s="15" t="str">
        <x:v>CUST0026</x:v>
      </x:c>
      <x:c r="D488" s="15" t="str">
        <x:v>REP005</x:v>
      </x:c>
      <x:c r="E488" s="15" t="str">
        <x:v>South</x:v>
      </x:c>
      <x:c r="F488" s="15" t="str">
        <x:v>Hyderabad</x:v>
      </x:c>
      <x:c r="G488" s="15" t="str">
        <x:v>Delivered</x:v>
      </x:c>
      <x:c r="H488" s="15" t="str">
        <x:v>Online</x:v>
      </x:c>
    </x:row>
    <x:row r="489">
      <x:c r="A489" s="15" t="str">
        <x:v>ORD00488</x:v>
      </x:c>
      <x:c r="B489" s="15" t="n">
        <x:v>45875</x:v>
      </x:c>
      <x:c r="C489" s="15" t="str">
        <x:v>CUST0070</x:v>
      </x:c>
      <x:c r="D489" s="15" t="str">
        <x:v>REP007</x:v>
      </x:c>
      <x:c r="E489" s="15" t="str">
        <x:v>North</x:v>
      </x:c>
      <x:c r="F489" s="15" t="str">
        <x:v>Lucknow</x:v>
      </x:c>
      <x:c r="G489" s="15" t="str">
        <x:v>Delivered</x:v>
      </x:c>
      <x:c r="H489" s="15" t="str">
        <x:v>Distributor</x:v>
      </x:c>
    </x:row>
    <x:row r="490">
      <x:c r="A490" s="15" t="str">
        <x:v>ORD00489</x:v>
      </x:c>
      <x:c r="B490" s="15" t="n">
        <x:v>45843</x:v>
      </x:c>
      <x:c r="C490" s="15" t="str">
        <x:v>CUST0088</x:v>
      </x:c>
      <x:c r="D490" s="15" t="str">
        <x:v>REP006</x:v>
      </x:c>
      <x:c r="E490" s="15" t="str">
        <x:v>West</x:v>
      </x:c>
      <x:c r="F490" s="15" t="str">
        <x:v>Pune</x:v>
      </x:c>
      <x:c r="G490" s="15" t="str">
        <x:v>Delivered</x:v>
      </x:c>
      <x:c r="H490" s="15" t="str">
        <x:v>Distributor</x:v>
      </x:c>
    </x:row>
    <x:row r="491">
      <x:c r="A491" s="15" t="str">
        <x:v>ORD00490</x:v>
      </x:c>
      <x:c r="B491" s="15" t="n">
        <x:v>45904</x:v>
      </x:c>
      <x:c r="C491" s="15" t="str">
        <x:v>CUST0081</x:v>
      </x:c>
      <x:c r="D491" s="15" t="str">
        <x:v>REP006</x:v>
      </x:c>
      <x:c r="E491" s="15" t="str">
        <x:v>West</x:v>
      </x:c>
      <x:c r="F491" s="15" t="str">
        <x:v>Mumbai</x:v>
      </x:c>
      <x:c r="G491" s="15" t="str">
        <x:v>Delivered</x:v>
      </x:c>
      <x:c r="H491" s="15" t="str">
        <x:v>Online</x:v>
      </x:c>
    </x:row>
    <x:row r="492">
      <x:c r="A492" s="15" t="str">
        <x:v>ORD00491</x:v>
      </x:c>
      <x:c r="B492" s="15" t="n">
        <x:v>45745</x:v>
      </x:c>
      <x:c r="C492" s="15" t="str">
        <x:v>CUST0035</x:v>
      </x:c>
      <x:c r="D492" s="15" t="str">
        <x:v>REP002</x:v>
      </x:c>
      <x:c r="E492" s="15" t="str">
        <x:v>West</x:v>
      </x:c>
      <x:c r="F492" s="15" t="str">
        <x:v>Pune</x:v>
      </x:c>
      <x:c r="G492" s="15" t="str">
        <x:v>Pending</x:v>
      </x:c>
      <x:c r="H492" s="15" t="str">
        <x:v>Distributor</x:v>
      </x:c>
    </x:row>
    <x:row r="493">
      <x:c r="A493" s="15" t="str">
        <x:v>ORD00492</x:v>
      </x:c>
      <x:c r="B493" s="15" t="n">
        <x:v>45899</x:v>
      </x:c>
      <x:c r="C493" s="15" t="str">
        <x:v>CUST0058</x:v>
      </x:c>
      <x:c r="D493" s="15" t="str">
        <x:v>REP009</x:v>
      </x:c>
      <x:c r="E493" s="15" t="str">
        <x:v>South</x:v>
      </x:c>
      <x:c r="F493" s="15" t="str">
        <x:v>Chennai</x:v>
      </x:c>
      <x:c r="G493" s="15" t="str">
        <x:v>Delivered</x:v>
      </x:c>
      <x:c r="H493" s="15" t="str">
        <x:v>Direct Sales</x:v>
      </x:c>
    </x:row>
    <x:row r="494">
      <x:c r="A494" s="15" t="str">
        <x:v>ORD00493</x:v>
      </x:c>
      <x:c r="B494" s="15" t="n">
        <x:v>46120</x:v>
      </x:c>
      <x:c r="C494" s="15" t="str">
        <x:v>CUST0008</x:v>
      </x:c>
      <x:c r="D494" s="15" t="str">
        <x:v>REP009</x:v>
      </x:c>
      <x:c r="E494" s="15" t="str">
        <x:v>South</x:v>
      </x:c>
      <x:c r="F494" s="15" t="str">
        <x:v>Chennai</x:v>
      </x:c>
      <x:c r="G494" s="15" t="str">
        <x:v>Delivered</x:v>
      </x:c>
      <x:c r="H494" s="15" t="str">
        <x:v>Distributor</x:v>
      </x:c>
    </x:row>
    <x:row r="495">
      <x:c r="A495" s="15" t="str">
        <x:v>ORD00494</x:v>
      </x:c>
      <x:c r="B495" s="15" t="n">
        <x:v>45698</x:v>
      </x:c>
      <x:c r="C495" s="15" t="str">
        <x:v>CUST0077</x:v>
      </x:c>
      <x:c r="D495" s="15" t="str">
        <x:v>REP002</x:v>
      </x:c>
      <x:c r="E495" s="15" t="str">
        <x:v>West</x:v>
      </x:c>
      <x:c r="F495" s="15" t="str">
        <x:v>Pune</x:v>
      </x:c>
      <x:c r="G495" s="15" t="str">
        <x:v>Pending</x:v>
      </x:c>
      <x:c r="H495" s="15" t="str">
        <x:v>Online</x:v>
      </x:c>
    </x:row>
    <x:row r="496">
      <x:c r="A496" s="15" t="str">
        <x:v>ORD00495</x:v>
      </x:c>
      <x:c r="B496" s="15" t="n">
        <x:v>45669</x:v>
      </x:c>
      <x:c r="C496" s="15" t="str">
        <x:v>CUST0021</x:v>
      </x:c>
      <x:c r="D496" s="15" t="str">
        <x:v>REP013</x:v>
      </x:c>
      <x:c r="E496" s="15" t="str">
        <x:v>South</x:v>
      </x:c>
      <x:c r="F496" s="15" t="str">
        <x:v>Bengaluru</x:v>
      </x:c>
      <x:c r="G496" s="15" t="str">
        <x:v>Delivered</x:v>
      </x:c>
      <x:c r="H496" s="15" t="str">
        <x:v>Direct Sales</x:v>
      </x:c>
    </x:row>
    <x:row r="497">
      <x:c r="A497" s="15" t="str">
        <x:v>ORD00496</x:v>
      </x:c>
      <x:c r="B497" s="15" t="n">
        <x:v>45831</x:v>
      </x:c>
      <x:c r="C497" s="15" t="str">
        <x:v>CUST0014</x:v>
      </x:c>
      <x:c r="D497" s="15" t="str">
        <x:v>REP011</x:v>
      </x:c>
      <x:c r="E497" s="15" t="str">
        <x:v>North</x:v>
      </x:c>
      <x:c r="F497" s="15" t="str">
        <x:v>Lucknow</x:v>
      </x:c>
      <x:c r="G497" s="15" t="str">
        <x:v>Delivered</x:v>
      </x:c>
      <x:c r="H497" s="15" t="str">
        <x:v>Distributor</x:v>
      </x:c>
    </x:row>
    <x:row r="498">
      <x:c r="A498" s="15" t="str">
        <x:v>ORD00497</x:v>
      </x:c>
      <x:c r="B498" s="15" t="n">
        <x:v>46183</x:v>
      </x:c>
      <x:c r="C498" s="15" t="str">
        <x:v>CUST0085</x:v>
      </x:c>
      <x:c r="D498" s="15" t="str">
        <x:v>REP002</x:v>
      </x:c>
      <x:c r="E498" s="15" t="str">
        <x:v>West</x:v>
      </x:c>
      <x:c r="F498" s="15" t="str">
        <x:v>Pune</x:v>
      </x:c>
      <x:c r="G498" s="15" t="str">
        <x:v>Delivered</x:v>
      </x:c>
      <x:c r="H498" s="15" t="str">
        <x:v>Direct Sales</x:v>
      </x:c>
    </x:row>
    <x:row r="499">
      <x:c r="A499" s="15" t="str">
        <x:v>ORD00498</x:v>
      </x:c>
      <x:c r="B499" s="15" t="n">
        <x:v>46043</x:v>
      </x:c>
      <x:c r="C499" s="15" t="str">
        <x:v>CUST0093</x:v>
      </x:c>
      <x:c r="D499" s="15" t="str">
        <x:v>REP009</x:v>
      </x:c>
      <x:c r="E499" s="15" t="str">
        <x:v>South</x:v>
      </x:c>
      <x:c r="F499" s="15" t="str">
        <x:v>Chennai</x:v>
      </x:c>
      <x:c r="G499" s="15" t="str">
        <x:v>Delivered</x:v>
      </x:c>
      <x:c r="H499" s="15" t="str">
        <x:v>Distributor</x:v>
      </x:c>
    </x:row>
    <x:row r="500">
      <x:c r="A500" s="15" t="str">
        <x:v>ORD00499</x:v>
      </x:c>
      <x:c r="B500" s="15" t="n">
        <x:v>46126</x:v>
      </x:c>
      <x:c r="C500" s="15" t="str">
        <x:v>CUST0068</x:v>
      </x:c>
      <x:c r="D500" s="15" t="str">
        <x:v>REP004</x:v>
      </x:c>
      <x:c r="E500" s="15" t="str">
        <x:v>East</x:v>
      </x:c>
      <x:c r="F500" s="15" t="str">
        <x:v>Guwahati</x:v>
      </x:c>
      <x:c r="G500" s="15" t="str">
        <x:v>Delivered</x:v>
      </x:c>
      <x:c r="H500" s="15" t="str">
        <x:v>Direct Sales</x:v>
      </x:c>
    </x:row>
    <x:row r="501">
      <x:c r="A501" s="15" t="str">
        <x:v>ORD00500</x:v>
      </x:c>
      <x:c r="B501" s="15" t="n">
        <x:v>45898</x:v>
      </x:c>
      <x:c r="C501" s="15" t="str">
        <x:v>CUST0018</x:v>
      </x:c>
      <x:c r="D501" s="15" t="str">
        <x:v>REP003</x:v>
      </x:c>
      <x:c r="E501" s="15" t="str">
        <x:v>North</x:v>
      </x:c>
      <x:c r="F501" s="15" t="str">
        <x:v>Jaipur</x:v>
      </x:c>
      <x:c r="G501" s="15" t="str">
        <x:v>Delivered</x:v>
      </x:c>
      <x:c r="H501" s="15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a6fb89e7503445b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9.630000114440918" hidden="0" customWidth="1"/>
    <x:col min="3" max="3" width="11.380000114440918" hidden="0" customWidth="1"/>
    <x:col min="4" max="4" width="9.5" hidden="0" customWidth="1"/>
    <x:col min="5" max="5" width="10.75" hidden="0" customWidth="1"/>
    <x:col min="6" max="6" width="12.880000114440918" hidden="0" customWidth="1"/>
    <x:col min="7" max="7" width="11.630000114440918" hidden="0" customWidth="1"/>
    <x:col min="8" max="8" width="10.25" hidden="0" customWidth="1"/>
    <x:col min="9" max="9" width="13" hidden="0" customWidth="1"/>
    <x:col min="10" max="10" width="7.5" hidden="0" customWidth="1"/>
    <x:col min="11" max="11" width="10.5" hidden="0" customWidth="1"/>
    <x:col min="12" max="12" width="9" hidden="0" customWidth="1"/>
    <x:col min="13" max="13" width="14" hidden="0" customWidth="1"/>
  </x:cols>
  <x:sheetData>
    <x:row r="1">
      <x:c r="A1" s="22" t="str">
        <x:v>item_id</x:v>
      </x:c>
      <x:c r="B1" s="22" t="str">
        <x:v>order_id</x:v>
      </x:c>
      <x:c r="C1" s="22" t="str">
        <x:v>product_id</x:v>
      </x:c>
      <x:c r="D1" s="22" t="str">
        <x:v>quantity</x:v>
      </x:c>
      <x:c r="E1" s="40" t="str">
        <x:v>unit_price</x:v>
      </x:c>
      <x:c r="F1" s="42" t="str">
        <x:v>discount_pct</x:v>
      </x:c>
      <x:c r="G1" s="40" t="str">
        <x:v>gross_sales</x:v>
      </x:c>
      <x:c r="H1" s="40" t="str">
        <x:v>net_sales</x:v>
      </x:c>
      <x:c r="I1" s="40" t="str">
        <x:v>cost_amount</x:v>
      </x:c>
      <x:c r="J1" s="40" t="str">
        <x:v>profit</x:v>
      </x:c>
      <x:c r="K1" s="22" t="str">
        <x:v>order_region</x:v>
      </x:c>
      <x:c r="L1" s="22" t="str">
        <x:v>order_date</x:v>
      </x:c>
      <x:c r="M1" s="22" t="str">
        <x:v>product_category</x:v>
      </x:c>
    </x:row>
    <x:row r="2">
      <x:c r="A2" s="15" t="str">
        <x:v>ITEM00001_1</x:v>
      </x:c>
      <x:c r="B2" s="15" t="str">
        <x:v>ORD00001</x:v>
      </x:c>
      <x:c r="C2" s="15" t="str">
        <x:v>PROD028</x:v>
      </x:c>
      <x:c r="D2" s="15" t="n">
        <x:v>1</x:v>
      </x:c>
      <x:c r="E2" s="15" t="n">
        <x:v>4640.74</x:v>
      </x:c>
      <x:c r="F2" s="15" t="n">
        <x:v>0.05</x:v>
      </x:c>
      <x:c r="G2" s="15" t="n">
        <x:v>4640.74</x:v>
      </x:c>
      <x:c r="H2" s="15" t="n">
        <x:v>4408.7</x:v>
      </x:c>
      <x:c r="I2" s="15" t="n">
        <x:v>3534</x:v>
      </x:c>
      <x:c r="J2" s="15" t="n">
        <x:v>874.7</x:v>
      </x:c>
      <x:c r="K2" t="str">
        <x:f>XLOOKUP(B2,Orders!A:A,Orders!E:E,"")</x:f>
        <x:v>North</x:v>
      </x:c>
      <x:c r="L2" t="n">
        <x:f>XLOOKUP(B2,Orders!A:A,Orders!B:B,"")</x:f>
        <x:v>45762</x:v>
      </x:c>
      <x:c r="M2" t="str">
        <x:f>XLOOKUP(C2,Products!A:A,Products!C:C,"")</x:f>
        <x:v>Office Supplies</x:v>
      </x:c>
    </x:row>
    <x:row r="3">
      <x:c r="A3" s="15" t="str">
        <x:v>ITEM00001_2</x:v>
      </x:c>
      <x:c r="B3" s="15" t="str">
        <x:v>ORD00001</x:v>
      </x:c>
      <x:c r="C3" s="15" t="str">
        <x:v>PROD024</x:v>
      </x:c>
      <x:c r="D3" s="15" t="n">
        <x:v>1</x:v>
      </x:c>
      <x:c r="E3" s="15" t="n">
        <x:v>4018</x:v>
      </x:c>
      <x:c r="F3" s="15" t="n">
        <x:v>0</x:v>
      </x:c>
      <x:c r="G3" s="15" t="n">
        <x:v>4018</x:v>
      </x:c>
      <x:c r="H3" s="15" t="n">
        <x:v>4018</x:v>
      </x:c>
      <x:c r="I3" s="15" t="n">
        <x:v>3192</x:v>
      </x:c>
      <x:c r="J3" s="15" t="n">
        <x:v>826</x:v>
      </x:c>
      <x:c r="K3" t="str">
        <x:f>XLOOKUP(B3,Orders!A:A,Orders!E:E,"")</x:f>
        <x:v>North</x:v>
      </x:c>
      <x:c r="L3" t="n">
        <x:f>XLOOKUP(B3,Orders!A:A,Orders!B:B,"")</x:f>
        <x:v>45762</x:v>
      </x:c>
      <x:c r="M3" t="str">
        <x:f>XLOOKUP(C3,Products!A:A,Products!C:C,"")</x:f>
        <x:v>Furniture</x:v>
      </x:c>
    </x:row>
    <x:row r="4">
      <x:c r="A4" s="15" t="str">
        <x:v>ITEM00001_3</x:v>
      </x:c>
      <x:c r="B4" s="15" t="str">
        <x:v>ORD00001</x:v>
      </x:c>
      <x:c r="C4" s="15" t="str">
        <x:v>PROD040</x:v>
      </x:c>
      <x:c r="D4" s="15" t="n">
        <x:v>2</x:v>
      </x:c>
      <x:c r="E4" s="15" t="n">
        <x:v>8561.07</x:v>
      </x:c>
      <x:c r="F4" s="15" t="n">
        <x:v>0.15</x:v>
      </x:c>
      <x:c r="G4" s="15" t="n">
        <x:v>17122.14</x:v>
      </x:c>
      <x:c r="H4" s="15" t="n">
        <x:v>14553.82</x:v>
      </x:c>
      <x:c r="I4" s="15" t="n">
        <x:v>13682</x:v>
      </x:c>
      <x:c r="J4" s="15" t="n">
        <x:v>871.82</x:v>
      </x:c>
      <x:c r="K4" t="str">
        <x:f>XLOOKUP(B4,Orders!A:A,Orders!E:E,"")</x:f>
        <x:v>North</x:v>
      </x:c>
      <x:c r="L4" t="n">
        <x:f>XLOOKUP(B4,Orders!A:A,Orders!B:B,"")</x:f>
        <x:v>45762</x:v>
      </x:c>
      <x:c r="M4" t="str">
        <x:f>XLOOKUP(C4,Products!A:A,Products!C:C,"")</x:f>
        <x:v>Electronics</x:v>
      </x:c>
    </x:row>
    <x:row r="5">
      <x:c r="A5" s="15" t="str">
        <x:v>ITEM00002_1</x:v>
      </x:c>
      <x:c r="B5" s="15" t="str">
        <x:v>ORD00002</x:v>
      </x:c>
      <x:c r="C5" s="15" t="str">
        <x:v>PROD023</x:v>
      </x:c>
      <x:c r="D5" s="15" t="n">
        <x:v>6</x:v>
      </x:c>
      <x:c r="E5" s="15" t="n">
        <x:v>5153.56</x:v>
      </x:c>
      <x:c r="F5" s="15" t="n">
        <x:v>0</x:v>
      </x:c>
      <x:c r="G5" s="15" t="n">
        <x:v>30921.36</x:v>
      </x:c>
      <x:c r="H5" s="15" t="n">
        <x:v>30921.36</x:v>
      </x:c>
      <x:c r="I5" s="15" t="n">
        <x:v>23748</x:v>
      </x:c>
      <x:c r="J5" s="15" t="n">
        <x:v>7173.36</x:v>
      </x:c>
      <x:c r="K5" t="str">
        <x:f>XLOOKUP(B5,Orders!A:A,Orders!E:E,"")</x:f>
        <x:v>East</x:v>
      </x:c>
      <x:c r="L5" t="n">
        <x:f>XLOOKUP(B5,Orders!A:A,Orders!B:B,"")</x:f>
        <x:v>45984</x:v>
      </x:c>
      <x:c r="M5" t="str">
        <x:f>XLOOKUP(C5,Products!A:A,Products!C:C,"")</x:f>
        <x:v>Electronics</x:v>
      </x:c>
    </x:row>
    <x:row r="6">
      <x:c r="A6" s="15" t="str">
        <x:v>ITEM00002_2</x:v>
      </x:c>
      <x:c r="B6" s="15" t="str">
        <x:v>ORD00002</x:v>
      </x:c>
      <x:c r="C6" s="15" t="str">
        <x:v>PROD016</x:v>
      </x:c>
      <x:c r="D6" s="15" t="n">
        <x:v>4</x:v>
      </x:c>
      <x:c r="E6" s="15" t="n">
        <x:v>3884.33</x:v>
      </x:c>
      <x:c r="F6" s="15" t="n">
        <x:v>0.15</x:v>
      </x:c>
      <x:c r="G6" s="15" t="n">
        <x:v>15537.32</x:v>
      </x:c>
      <x:c r="H6" s="15" t="n">
        <x:v>13206.72</x:v>
      </x:c>
      <x:c r="I6" s="15" t="n">
        <x:v>12188</x:v>
      </x:c>
      <x:c r="J6" s="15" t="n">
        <x:v>1018.72</x:v>
      </x:c>
      <x:c r="K6" t="str">
        <x:f>XLOOKUP(B6,Orders!A:A,Orders!E:E,"")</x:f>
        <x:v>East</x:v>
      </x:c>
      <x:c r="L6" t="n">
        <x:f>XLOOKUP(B6,Orders!A:A,Orders!B:B,"")</x:f>
        <x:v>45984</x:v>
      </x:c>
      <x:c r="M6" t="str">
        <x:f>XLOOKUP(C6,Products!A:A,Products!C:C,"")</x:f>
        <x:v>Electronics</x:v>
      </x:c>
    </x:row>
    <x:row r="7">
      <x:c r="A7" s="15" t="str">
        <x:v>ITEM00002_3</x:v>
      </x:c>
      <x:c r="B7" s="15" t="str">
        <x:v>ORD00002</x:v>
      </x:c>
      <x:c r="C7" s="15" t="str">
        <x:v>PROD016</x:v>
      </x:c>
      <x:c r="D7" s="15" t="n">
        <x:v>5</x:v>
      </x:c>
      <x:c r="E7" s="15" t="n">
        <x:v>3884.33</x:v>
      </x:c>
      <x:c r="F7" s="15" t="n">
        <x:v>0</x:v>
      </x:c>
      <x:c r="G7" s="15" t="n">
        <x:v>19421.65</x:v>
      </x:c>
      <x:c r="H7" s="15" t="n">
        <x:v>19421.65</x:v>
      </x:c>
      <x:c r="I7" s="15" t="n">
        <x:v>15235</x:v>
      </x:c>
      <x:c r="J7" s="15" t="n">
        <x:v>4186.65</x:v>
      </x:c>
      <x:c r="K7" t="str">
        <x:f>XLOOKUP(B7,Orders!A:A,Orders!E:E,"")</x:f>
        <x:v>East</x:v>
      </x:c>
      <x:c r="L7" t="n">
        <x:f>XLOOKUP(B7,Orders!A:A,Orders!B:B,"")</x:f>
        <x:v>45984</x:v>
      </x:c>
      <x:c r="M7" t="str">
        <x:f>XLOOKUP(C7,Products!A:A,Products!C:C,"")</x:f>
        <x:v>Electronics</x:v>
      </x:c>
    </x:row>
    <x:row r="8">
      <x:c r="A8" s="15" t="str">
        <x:v>ITEM00003_1</x:v>
      </x:c>
      <x:c r="B8" s="15" t="str">
        <x:v>ORD00003</x:v>
      </x:c>
      <x:c r="C8" s="15" t="str">
        <x:v>PROD033</x:v>
      </x:c>
      <x:c r="D8" s="15" t="n">
        <x:v>7</x:v>
      </x:c>
      <x:c r="E8" s="15" t="n">
        <x:v>3912.41</x:v>
      </x:c>
      <x:c r="F8" s="15" t="n">
        <x:v>0.15</x:v>
      </x:c>
      <x:c r="G8" s="15" t="n">
        <x:v>27386.87</x:v>
      </x:c>
      <x:c r="H8" s="15" t="n">
        <x:v>23278.84</x:v>
      </x:c>
      <x:c r="I8" s="15" t="n">
        <x:v>20937</x:v>
      </x:c>
      <x:c r="J8" s="15" t="n">
        <x:v>2341.84</x:v>
      </x:c>
      <x:c r="K8" t="str">
        <x:f>XLOOKUP(B8,Orders!A:A,Orders!E:E,"")</x:f>
        <x:v>North</x:v>
      </x:c>
      <x:c r="L8" t="n">
        <x:f>XLOOKUP(B8,Orders!A:A,Orders!B:B,"")</x:f>
        <x:v>45889</x:v>
      </x:c>
      <x:c r="M8" t="str">
        <x:f>XLOOKUP(C8,Products!A:A,Products!C:C,"")</x:f>
        <x:v>Furniture</x:v>
      </x:c>
    </x:row>
    <x:row r="9">
      <x:c r="A9" s="15" t="str">
        <x:v>ITEM00003_2</x:v>
      </x:c>
      <x:c r="B9" s="15" t="str">
        <x:v>ORD00003</x:v>
      </x:c>
      <x:c r="C9" s="15" t="str">
        <x:v>PROD011</x:v>
      </x:c>
      <x:c r="D9" s="15" t="n">
        <x:v>6</x:v>
      </x:c>
      <x:c r="E9" s="15" t="n">
        <x:v>7135.27</x:v>
      </x:c>
      <x:c r="F9" s="15" t="n">
        <x:v>0.05</x:v>
      </x:c>
      <x:c r="G9" s="15" t="n">
        <x:v>42811.62</x:v>
      </x:c>
      <x:c r="H9" s="15" t="n">
        <x:v>40671.04</x:v>
      </x:c>
      <x:c r="I9" s="15" t="n">
        <x:v>31218</x:v>
      </x:c>
      <x:c r="J9" s="15" t="n">
        <x:v>9453.04</x:v>
      </x:c>
      <x:c r="K9" t="str">
        <x:f>XLOOKUP(B9,Orders!A:A,Orders!E:E,"")</x:f>
        <x:v>North</x:v>
      </x:c>
      <x:c r="L9" t="n">
        <x:f>XLOOKUP(B9,Orders!A:A,Orders!B:B,"")</x:f>
        <x:v>45889</x:v>
      </x:c>
      <x:c r="M9" t="str">
        <x:f>XLOOKUP(C9,Products!A:A,Products!C:C,"")</x:f>
        <x:v>Accessories</x:v>
      </x:c>
    </x:row>
    <x:row r="10">
      <x:c r="A10" s="15" t="str">
        <x:v>ITEM00003_3</x:v>
      </x:c>
      <x:c r="B10" s="15" t="str">
        <x:v>ORD00003</x:v>
      </x:c>
      <x:c r="C10" s="15" t="str">
        <x:v>PROD011</x:v>
      </x:c>
      <x:c r="D10" s="15" t="n">
        <x:v>1</x:v>
      </x:c>
      <x:c r="E10" s="15" t="n">
        <x:v>7135.27</x:v>
      </x:c>
      <x:c r="F10" s="15" t="n">
        <x:v>0.05</x:v>
      </x:c>
      <x:c r="G10" s="15" t="n">
        <x:v>7135.27</x:v>
      </x:c>
      <x:c r="H10" s="15" t="n">
        <x:v>6778.51</x:v>
      </x:c>
      <x:c r="I10" s="15" t="n">
        <x:v>5203</x:v>
      </x:c>
      <x:c r="J10" s="15" t="n">
        <x:v>1575.51</x:v>
      </x:c>
      <x:c r="K10" t="str">
        <x:f>XLOOKUP(B10,Orders!A:A,Orders!E:E,"")</x:f>
        <x:v>North</x:v>
      </x:c>
      <x:c r="L10" t="n">
        <x:f>XLOOKUP(B10,Orders!A:A,Orders!B:B,"")</x:f>
        <x:v>45889</x:v>
      </x:c>
      <x:c r="M10" t="str">
        <x:f>XLOOKUP(C10,Products!A:A,Products!C:C,"")</x:f>
        <x:v>Accessories</x:v>
      </x:c>
    </x:row>
    <x:row r="11">
      <x:c r="A11" s="15" t="str">
        <x:v>ITEM00004_1</x:v>
      </x:c>
      <x:c r="B11" s="15" t="str">
        <x:v>ORD00004</x:v>
      </x:c>
      <x:c r="C11" s="15" t="str">
        <x:v>PROD002</x:v>
      </x:c>
      <x:c r="D11" s="15" t="n">
        <x:v>3</x:v>
      </x:c>
      <x:c r="E11" s="15" t="n">
        <x:v>4655.92</x:v>
      </x:c>
      <x:c r="F11" s="15" t="n">
        <x:v>0</x:v>
      </x:c>
      <x:c r="G11" s="15" t="n">
        <x:v>13967.76</x:v>
      </x:c>
      <x:c r="H11" s="15" t="n">
        <x:v>13967.76</x:v>
      </x:c>
      <x:c r="I11" s="15" t="n">
        <x:v>9399</x:v>
      </x:c>
      <x:c r="J11" s="15" t="n">
        <x:v>4568.76</x:v>
      </x:c>
      <x:c r="K11" t="str">
        <x:f>XLOOKUP(B11,Orders!A:A,Orders!E:E,"")</x:f>
        <x:v>North</x:v>
      </x:c>
      <x:c r="L11" t="n">
        <x:f>XLOOKUP(B11,Orders!A:A,Orders!B:B,"")</x:f>
        <x:v>45802</x:v>
      </x:c>
      <x:c r="M11" t="str">
        <x:f>XLOOKUP(C11,Products!A:A,Products!C:C,"")</x:f>
        <x:v>Accessories</x:v>
      </x:c>
    </x:row>
    <x:row r="12">
      <x:c r="A12" s="15" t="str">
        <x:v>ITEM00004_2</x:v>
      </x:c>
      <x:c r="B12" s="15" t="str">
        <x:v>ORD00004</x:v>
      </x:c>
      <x:c r="C12" s="15" t="str">
        <x:v>PROD034</x:v>
      </x:c>
      <x:c r="D12" s="15" t="n">
        <x:v>3</x:v>
      </x:c>
      <x:c r="E12" s="15" t="n">
        <x:v>5451.76</x:v>
      </x:c>
      <x:c r="F12" s="15" t="n">
        <x:v>0.05</x:v>
      </x:c>
      <x:c r="G12" s="15" t="n">
        <x:v>16355.28</x:v>
      </x:c>
      <x:c r="H12" s="15" t="n">
        <x:v>15537.52</x:v>
      </x:c>
      <x:c r="I12" s="15" t="n">
        <x:v>11328</x:v>
      </x:c>
      <x:c r="J12" s="15" t="n">
        <x:v>4209.52</x:v>
      </x:c>
      <x:c r="K12" t="str">
        <x:f>XLOOKUP(B12,Orders!A:A,Orders!E:E,"")</x:f>
        <x:v>North</x:v>
      </x:c>
      <x:c r="L12" t="n">
        <x:f>XLOOKUP(B12,Orders!A:A,Orders!B:B,"")</x:f>
        <x:v>45802</x:v>
      </x:c>
      <x:c r="M12" t="str">
        <x:f>XLOOKUP(C12,Products!A:A,Products!C:C,"")</x:f>
        <x:v>Accessories</x:v>
      </x:c>
    </x:row>
    <x:row r="13">
      <x:c r="A13" s="15" t="str">
        <x:v>ITEM00005_1</x:v>
      </x:c>
      <x:c r="B13" s="15" t="str">
        <x:v>ORD00005</x:v>
      </x:c>
      <x:c r="C13" s="15" t="str">
        <x:v>PROD040</x:v>
      </x:c>
      <x:c r="D13" s="15" t="n">
        <x:v>4</x:v>
      </x:c>
      <x:c r="E13" s="15" t="n">
        <x:v>8561.07</x:v>
      </x:c>
      <x:c r="F13" s="15" t="n">
        <x:v>0.15</x:v>
      </x:c>
      <x:c r="G13" s="15" t="n">
        <x:v>34244.28</x:v>
      </x:c>
      <x:c r="H13" s="15" t="n">
        <x:v>29107.64</x:v>
      </x:c>
      <x:c r="I13" s="15" t="n">
        <x:v>27364</x:v>
      </x:c>
      <x:c r="J13" s="15" t="n">
        <x:v>1743.64</x:v>
      </x:c>
      <x:c r="K13" t="str">
        <x:f>XLOOKUP(B13,Orders!A:A,Orders!E:E,"")</x:f>
        <x:v>North</x:v>
      </x:c>
      <x:c r="L13" t="n">
        <x:f>XLOOKUP(B13,Orders!A:A,Orders!B:B,"")</x:f>
        <x:v>45796</x:v>
      </x:c>
      <x:c r="M13" t="str">
        <x:f>XLOOKUP(C13,Products!A:A,Products!C:C,"")</x:f>
        <x:v>Electronics</x:v>
      </x:c>
    </x:row>
    <x:row r="14">
      <x:c r="A14" s="15" t="str">
        <x:v>ITEM00005_2</x:v>
      </x:c>
      <x:c r="B14" s="15" t="str">
        <x:v>ORD00005</x:v>
      </x:c>
      <x:c r="C14" s="15" t="str">
        <x:v>PROD035</x:v>
      </x:c>
      <x:c r="D14" s="15" t="n">
        <x:v>6</x:v>
      </x:c>
      <x:c r="E14" s="15" t="n">
        <x:v>3972.26</x:v>
      </x:c>
      <x:c r="F14" s="15" t="n">
        <x:v>0</x:v>
      </x:c>
      <x:c r="G14" s="15" t="n">
        <x:v>23833.56</x:v>
      </x:c>
      <x:c r="H14" s="15" t="n">
        <x:v>23833.56</x:v>
      </x:c>
      <x:c r="I14" s="15" t="n">
        <x:v>19122</x:v>
      </x:c>
      <x:c r="J14" s="15" t="n">
        <x:v>4711.56</x:v>
      </x:c>
      <x:c r="K14" t="str">
        <x:f>XLOOKUP(B14,Orders!A:A,Orders!E:E,"")</x:f>
        <x:v>North</x:v>
      </x:c>
      <x:c r="L14" t="n">
        <x:f>XLOOKUP(B14,Orders!A:A,Orders!B:B,"")</x:f>
        <x:v>45796</x:v>
      </x:c>
      <x:c r="M14" t="str">
        <x:f>XLOOKUP(C14,Products!A:A,Products!C:C,"")</x:f>
        <x:v>Electronics</x:v>
      </x:c>
    </x:row>
    <x:row r="15">
      <x:c r="A15" s="15" t="str">
        <x:v>ITEM00005_3</x:v>
      </x:c>
      <x:c r="B15" s="15" t="str">
        <x:v>ORD00005</x:v>
      </x:c>
      <x:c r="C15" s="15" t="str">
        <x:v>PROD035</x:v>
      </x:c>
      <x:c r="D15" s="15" t="n">
        <x:v>5</x:v>
      </x:c>
      <x:c r="E15" s="15" t="n">
        <x:v>3972.26</x:v>
      </x:c>
      <x:c r="F15" s="15" t="n">
        <x:v>0.15</x:v>
      </x:c>
      <x:c r="G15" s="15" t="n">
        <x:v>19861.3</x:v>
      </x:c>
      <x:c r="H15" s="15" t="n">
        <x:v>16882.1</x:v>
      </x:c>
      <x:c r="I15" s="15" t="n">
        <x:v>15935</x:v>
      </x:c>
      <x:c r="J15" s="15" t="n">
        <x:v>947.1</x:v>
      </x:c>
      <x:c r="K15" t="str">
        <x:f>XLOOKUP(B15,Orders!A:A,Orders!E:E,"")</x:f>
        <x:v>North</x:v>
      </x:c>
      <x:c r="L15" t="n">
        <x:f>XLOOKUP(B15,Orders!A:A,Orders!B:B,"")</x:f>
        <x:v>45796</x:v>
      </x:c>
      <x:c r="M15" t="str">
        <x:f>XLOOKUP(C15,Products!A:A,Products!C:C,"")</x:f>
        <x:v>Electronics</x:v>
      </x:c>
    </x:row>
    <x:row r="16">
      <x:c r="A16" s="15" t="str">
        <x:v>ITEM00005_4</x:v>
      </x:c>
      <x:c r="B16" s="15" t="str">
        <x:v>ORD00005</x:v>
      </x:c>
      <x:c r="C16" s="15" t="str">
        <x:v>PROD001</x:v>
      </x:c>
      <x:c r="D16" s="15" t="n">
        <x:v>5</x:v>
      </x:c>
      <x:c r="E16" s="15" t="n">
        <x:v>8672.7</x:v>
      </x:c>
      <x:c r="F16" s="15" t="n">
        <x:v>0.05</x:v>
      </x:c>
      <x:c r="G16" s="15" t="n">
        <x:v>43363.5</x:v>
      </x:c>
      <x:c r="H16" s="15" t="n">
        <x:v>41195.32</x:v>
      </x:c>
      <x:c r="I16" s="15" t="n">
        <x:v>30815</x:v>
      </x:c>
      <x:c r="J16" s="15" t="n">
        <x:v>10380.32</x:v>
      </x:c>
      <x:c r="K16" t="str">
        <x:f>XLOOKUP(B16,Orders!A:A,Orders!E:E,"")</x:f>
        <x:v>North</x:v>
      </x:c>
      <x:c r="L16" t="n">
        <x:f>XLOOKUP(B16,Orders!A:A,Orders!B:B,"")</x:f>
        <x:v>45796</x:v>
      </x:c>
      <x:c r="M16" t="str">
        <x:f>XLOOKUP(C16,Products!A:A,Products!C:C,"")</x:f>
        <x:v>Office Supplies</x:v>
      </x:c>
    </x:row>
    <x:row r="17">
      <x:c r="A17" s="15" t="str">
        <x:v>ITEM00006_1</x:v>
      </x:c>
      <x:c r="B17" s="15" t="str">
        <x:v>ORD00006</x:v>
      </x:c>
      <x:c r="C17" s="15" t="str">
        <x:v>PROD001</x:v>
      </x:c>
      <x:c r="D17" s="15" t="n">
        <x:v>1</x:v>
      </x:c>
      <x:c r="E17" s="15" t="n">
        <x:v>8672.7</x:v>
      </x:c>
      <x:c r="F17" s="15" t="n">
        <x:v>0</x:v>
      </x:c>
      <x:c r="G17" s="15" t="n">
        <x:v>8672.7</x:v>
      </x:c>
      <x:c r="H17" s="15" t="n">
        <x:v>8672.7</x:v>
      </x:c>
      <x:c r="I17" s="15" t="n">
        <x:v>6163</x:v>
      </x:c>
      <x:c r="J17" s="15" t="n">
        <x:v>2509.7</x:v>
      </x:c>
      <x:c r="K17" t="str">
        <x:f>XLOOKUP(B17,Orders!A:A,Orders!E:E,"")</x:f>
        <x:v>West</x:v>
      </x:c>
      <x:c r="L17" t="n">
        <x:f>XLOOKUP(B17,Orders!A:A,Orders!B:B,"")</x:f>
        <x:v>46069</x:v>
      </x:c>
      <x:c r="M17" t="str">
        <x:f>XLOOKUP(C17,Products!A:A,Products!C:C,"")</x:f>
        <x:v>Office Supplies</x:v>
      </x:c>
    </x:row>
    <x:row r="18">
      <x:c r="A18" s="15" t="str">
        <x:v>ITEM00006_2</x:v>
      </x:c>
      <x:c r="B18" s="15" t="str">
        <x:v>ORD00006</x:v>
      </x:c>
      <x:c r="C18" s="15" t="str">
        <x:v>PROD036</x:v>
      </x:c>
      <x:c r="D18" s="15" t="n">
        <x:v>1</x:v>
      </x:c>
      <x:c r="E18" s="15" t="n">
        <x:v>7158.64</x:v>
      </x:c>
      <x:c r="F18" s="15" t="n">
        <x:v>0.05</x:v>
      </x:c>
      <x:c r="G18" s="15" t="n">
        <x:v>7158.64</x:v>
      </x:c>
      <x:c r="H18" s="15" t="n">
        <x:v>6800.71</x:v>
      </x:c>
      <x:c r="I18" s="15" t="n">
        <x:v>5171</x:v>
      </x:c>
      <x:c r="J18" s="15" t="n">
        <x:v>1629.71</x:v>
      </x:c>
      <x:c r="K18" t="str">
        <x:f>XLOOKUP(B18,Orders!A:A,Orders!E:E,"")</x:f>
        <x:v>West</x:v>
      </x:c>
      <x:c r="L18" t="n">
        <x:f>XLOOKUP(B18,Orders!A:A,Orders!B:B,"")</x:f>
        <x:v>46069</x:v>
      </x:c>
      <x:c r="M18" t="str">
        <x:f>XLOOKUP(C18,Products!A:A,Products!C:C,"")</x:f>
        <x:v>Accessories</x:v>
      </x:c>
    </x:row>
    <x:row r="19">
      <x:c r="A19" s="15" t="str">
        <x:v>ITEM00007_1</x:v>
      </x:c>
      <x:c r="B19" s="15" t="str">
        <x:v>ORD00007</x:v>
      </x:c>
      <x:c r="C19" s="15" t="str">
        <x:v>PROD032</x:v>
      </x:c>
      <x:c r="D19" s="15" t="n">
        <x:v>8</x:v>
      </x:c>
      <x:c r="E19" s="15" t="n">
        <x:v>6307.06</x:v>
      </x:c>
      <x:c r="F19" s="15" t="n">
        <x:v>0.05</x:v>
      </x:c>
      <x:c r="G19" s="15" t="n">
        <x:v>50456.48</x:v>
      </x:c>
      <x:c r="H19" s="15" t="n">
        <x:v>47933.66</x:v>
      </x:c>
      <x:c r="I19" s="15" t="n">
        <x:v>40616</x:v>
      </x:c>
      <x:c r="J19" s="15" t="n">
        <x:v>7317.66</x:v>
      </x:c>
      <x:c r="K19" t="str">
        <x:f>XLOOKUP(B19,Orders!A:A,Orders!E:E,"")</x:f>
        <x:v>West</x:v>
      </x:c>
      <x:c r="L19" t="n">
        <x:f>XLOOKUP(B19,Orders!A:A,Orders!B:B,"")</x:f>
        <x:v>46043</x:v>
      </x:c>
      <x:c r="M19" t="str">
        <x:f>XLOOKUP(C19,Products!A:A,Products!C:C,"")</x:f>
        <x:v>Electronics</x:v>
      </x:c>
    </x:row>
    <x:row r="20">
      <x:c r="A20" s="15" t="str">
        <x:v>ITEM00007_2</x:v>
      </x:c>
      <x:c r="B20" s="15" t="str">
        <x:v>ORD00007</x:v>
      </x:c>
      <x:c r="C20" s="15" t="str">
        <x:v>PROD026</x:v>
      </x:c>
      <x:c r="D20" s="15" t="n">
        <x:v>7</x:v>
      </x:c>
      <x:c r="E20" s="15" t="n">
        <x:v>3848.69</x:v>
      </x:c>
      <x:c r="F20" s="15" t="n">
        <x:v>0.1</x:v>
      </x:c>
      <x:c r="G20" s="15" t="n">
        <x:v>26940.83</x:v>
      </x:c>
      <x:c r="H20" s="15" t="n">
        <x:v>24246.75</x:v>
      </x:c>
      <x:c r="I20" s="15" t="n">
        <x:v>18438</x:v>
      </x:c>
      <x:c r="J20" s="15" t="n">
        <x:v>5808.75</x:v>
      </x:c>
      <x:c r="K20" t="str">
        <x:f>XLOOKUP(B20,Orders!A:A,Orders!E:E,"")</x:f>
        <x:v>West</x:v>
      </x:c>
      <x:c r="L20" t="n">
        <x:f>XLOOKUP(B20,Orders!A:A,Orders!B:B,"")</x:f>
        <x:v>46043</x:v>
      </x:c>
      <x:c r="M20" t="str">
        <x:f>XLOOKUP(C20,Products!A:A,Products!C:C,"")</x:f>
        <x:v>Accessories</x:v>
      </x:c>
    </x:row>
    <x:row r="21">
      <x:c r="A21" s="15" t="str">
        <x:v>ITEM00008_1</x:v>
      </x:c>
      <x:c r="B21" s="15" t="str">
        <x:v>ORD00008</x:v>
      </x:c>
      <x:c r="C21" s="15" t="str">
        <x:v>PROD039</x:v>
      </x:c>
      <x:c r="D21" s="15" t="n">
        <x:v>1</x:v>
      </x:c>
      <x:c r="E21" s="15" t="n">
        <x:v>5945.62</x:v>
      </x:c>
      <x:c r="F21" s="15" t="n">
        <x:v>0.15</x:v>
      </x:c>
      <x:c r="G21" s="15" t="n">
        <x:v>5945.62</x:v>
      </x:c>
      <x:c r="H21" s="15" t="n">
        <x:v>5053.78</x:v>
      </x:c>
      <x:c r="I21" s="15" t="n">
        <x:v>4573</x:v>
      </x:c>
      <x:c r="J21" s="15" t="n">
        <x:v>480.78</x:v>
      </x:c>
      <x:c r="K21" t="str">
        <x:f>XLOOKUP(B21,Orders!A:A,Orders!E:E,"")</x:f>
        <x:v>East</x:v>
      </x:c>
      <x:c r="L21" t="n">
        <x:f>XLOOKUP(B21,Orders!A:A,Orders!B:B,"")</x:f>
        <x:v>46093</x:v>
      </x:c>
      <x:c r="M21" t="str">
        <x:f>XLOOKUP(C21,Products!A:A,Products!C:C,"")</x:f>
        <x:v>Office Supplies</x:v>
      </x:c>
    </x:row>
    <x:row r="22">
      <x:c r="A22" s="15" t="str">
        <x:v>ITEM00008_2</x:v>
      </x:c>
      <x:c r="B22" s="15" t="str">
        <x:v>ORD00008</x:v>
      </x:c>
      <x:c r="C22" s="15" t="str">
        <x:v>PROD013</x:v>
      </x:c>
      <x:c r="D22" s="15" t="n">
        <x:v>4</x:v>
      </x:c>
      <x:c r="E22" s="15" t="n">
        <x:v>7614.02</x:v>
      </x:c>
      <x:c r="F22" s="15" t="n">
        <x:v>0.15</x:v>
      </x:c>
      <x:c r="G22" s="15" t="n">
        <x:v>30456.08</x:v>
      </x:c>
      <x:c r="H22" s="15" t="n">
        <x:v>25887.67</x:v>
      </x:c>
      <x:c r="I22" s="15" t="n">
        <x:v>24308</x:v>
      </x:c>
      <x:c r="J22" s="15" t="n">
        <x:v>1579.67</x:v>
      </x:c>
      <x:c r="K22" t="str">
        <x:f>XLOOKUP(B22,Orders!A:A,Orders!E:E,"")</x:f>
        <x:v>East</x:v>
      </x:c>
      <x:c r="L22" t="n">
        <x:f>XLOOKUP(B22,Orders!A:A,Orders!B:B,"")</x:f>
        <x:v>46093</x:v>
      </x:c>
      <x:c r="M22" t="str">
        <x:f>XLOOKUP(C22,Products!A:A,Products!C:C,"")</x:f>
        <x:v>Furniture</x:v>
      </x:c>
    </x:row>
    <x:row r="23">
      <x:c r="A23" s="15" t="str">
        <x:v>ITEM00008_3</x:v>
      </x:c>
      <x:c r="B23" s="15" t="str">
        <x:v>ORD00008</x:v>
      </x:c>
      <x:c r="C23" s="15" t="str">
        <x:v>PROD011</x:v>
      </x:c>
      <x:c r="D23" s="15" t="n">
        <x:v>7</x:v>
      </x:c>
      <x:c r="E23" s="15" t="n">
        <x:v>7135.27</x:v>
      </x:c>
      <x:c r="F23" s="15" t="n">
        <x:v>0.1</x:v>
      </x:c>
      <x:c r="G23" s="15" t="n">
        <x:v>49946.89</x:v>
      </x:c>
      <x:c r="H23" s="15" t="n">
        <x:v>44952.2</x:v>
      </x:c>
      <x:c r="I23" s="15" t="n">
        <x:v>36421</x:v>
      </x:c>
      <x:c r="J23" s="15" t="n">
        <x:v>8531.2</x:v>
      </x:c>
      <x:c r="K23" t="str">
        <x:f>XLOOKUP(B23,Orders!A:A,Orders!E:E,"")</x:f>
        <x:v>East</x:v>
      </x:c>
      <x:c r="L23" t="n">
        <x:f>XLOOKUP(B23,Orders!A:A,Orders!B:B,"")</x:f>
        <x:v>46093</x:v>
      </x:c>
      <x:c r="M23" t="str">
        <x:f>XLOOKUP(C23,Products!A:A,Products!C:C,"")</x:f>
        <x:v>Accessories</x:v>
      </x:c>
    </x:row>
    <x:row r="24">
      <x:c r="A24" s="15" t="str">
        <x:v>ITEM00008_4</x:v>
      </x:c>
      <x:c r="B24" s="15" t="str">
        <x:v>ORD00008</x:v>
      </x:c>
      <x:c r="C24" s="15" t="str">
        <x:v>PROD021</x:v>
      </x:c>
      <x:c r="D24" s="15" t="n">
        <x:v>4</x:v>
      </x:c>
      <x:c r="E24" s="15" t="n">
        <x:v>6748.85</x:v>
      </x:c>
      <x:c r="F24" s="15" t="n">
        <x:v>0.05</x:v>
      </x:c>
      <x:c r="G24" s="15" t="n">
        <x:v>26995.4</x:v>
      </x:c>
      <x:c r="H24" s="15" t="n">
        <x:v>25645.63</x:v>
      </x:c>
      <x:c r="I24" s="15" t="n">
        <x:v>19996</x:v>
      </x:c>
      <x:c r="J24" s="15" t="n">
        <x:v>5649.63</x:v>
      </x:c>
      <x:c r="K24" t="str">
        <x:f>XLOOKUP(B24,Orders!A:A,Orders!E:E,"")</x:f>
        <x:v>East</x:v>
      </x:c>
      <x:c r="L24" t="n">
        <x:f>XLOOKUP(B24,Orders!A:A,Orders!B:B,"")</x:f>
        <x:v>46093</x:v>
      </x:c>
      <x:c r="M24" t="str">
        <x:f>XLOOKUP(C24,Products!A:A,Products!C:C,"")</x:f>
        <x:v>Electronics</x:v>
      </x:c>
    </x:row>
    <x:row r="25">
      <x:c r="A25" s="15" t="str">
        <x:v>ITEM00009_1</x:v>
      </x:c>
      <x:c r="B25" s="15" t="str">
        <x:v>ORD00009</x:v>
      </x:c>
      <x:c r="C25" s="15" t="str">
        <x:v>PROD037</x:v>
      </x:c>
      <x:c r="D25" s="15" t="n">
        <x:v>3</x:v>
      </x:c>
      <x:c r="E25" s="15" t="n">
        <x:v>9876.8</x:v>
      </x:c>
      <x:c r="F25" s="15" t="n">
        <x:v>0.05</x:v>
      </x:c>
      <x:c r="G25" s="15" t="n">
        <x:v>29630.4</x:v>
      </x:c>
      <x:c r="H25" s="15" t="n">
        <x:v>28148.88</x:v>
      </x:c>
      <x:c r="I25" s="15" t="n">
        <x:v>21372</x:v>
      </x:c>
      <x:c r="J25" s="15" t="n">
        <x:v>6776.88</x:v>
      </x:c>
      <x:c r="K25" t="str">
        <x:f>XLOOKUP(B25,Orders!A:A,Orders!E:E,"")</x:f>
        <x:v>East</x:v>
      </x:c>
      <x:c r="L25" t="n">
        <x:f>XLOOKUP(B25,Orders!A:A,Orders!B:B,"")</x:f>
        <x:v>45999</x:v>
      </x:c>
      <x:c r="M25" t="str">
        <x:f>XLOOKUP(C25,Products!A:A,Products!C:C,"")</x:f>
        <x:v>Accessories</x:v>
      </x:c>
    </x:row>
    <x:row r="26">
      <x:c r="A26" s="15" t="str">
        <x:v>ITEM00009_2</x:v>
      </x:c>
      <x:c r="B26" s="15" t="str">
        <x:v>ORD00009</x:v>
      </x:c>
      <x:c r="C26" s="15" t="str">
        <x:v>PROD011</x:v>
      </x:c>
      <x:c r="D26" s="15" t="n">
        <x:v>3</x:v>
      </x:c>
      <x:c r="E26" s="15" t="n">
        <x:v>7135.27</x:v>
      </x:c>
      <x:c r="F26" s="15" t="n">
        <x:v>0</x:v>
      </x:c>
      <x:c r="G26" s="15" t="n">
        <x:v>21405.81</x:v>
      </x:c>
      <x:c r="H26" s="15" t="n">
        <x:v>21405.81</x:v>
      </x:c>
      <x:c r="I26" s="15" t="n">
        <x:v>15609</x:v>
      </x:c>
      <x:c r="J26" s="15" t="n">
        <x:v>5796.81</x:v>
      </x:c>
      <x:c r="K26" t="str">
        <x:f>XLOOKUP(B26,Orders!A:A,Orders!E:E,"")</x:f>
        <x:v>East</x:v>
      </x:c>
      <x:c r="L26" t="n">
        <x:f>XLOOKUP(B26,Orders!A:A,Orders!B:B,"")</x:f>
        <x:v>45999</x:v>
      </x:c>
      <x:c r="M26" t="str">
        <x:f>XLOOKUP(C26,Products!A:A,Products!C:C,"")</x:f>
        <x:v>Accessories</x:v>
      </x:c>
    </x:row>
    <x:row r="27">
      <x:c r="A27" s="15" t="str">
        <x:v>ITEM00010_1</x:v>
      </x:c>
      <x:c r="B27" s="15" t="str">
        <x:v>ORD00010</x:v>
      </x:c>
      <x:c r="C27" s="15" t="str">
        <x:v>PROD009</x:v>
      </x:c>
      <x:c r="D27" s="15" t="n">
        <x:v>5</x:v>
      </x:c>
      <x:c r="E27" s="15" t="n">
        <x:v>4722.96</x:v>
      </x:c>
      <x:c r="F27" s="15" t="n">
        <x:v>0.05</x:v>
      </x:c>
      <x:c r="G27" s="15" t="n">
        <x:v>23614.8</x:v>
      </x:c>
      <x:c r="H27" s="15" t="n">
        <x:v>22434.06</x:v>
      </x:c>
      <x:c r="I27" s="15" t="n">
        <x:v>16065</x:v>
      </x:c>
      <x:c r="J27" s="15" t="n">
        <x:v>6369.06</x:v>
      </x:c>
      <x:c r="K27" t="str">
        <x:f>XLOOKUP(B27,Orders!A:A,Orders!E:E,"")</x:f>
        <x:v>South</x:v>
      </x:c>
      <x:c r="L27" t="n">
        <x:f>XLOOKUP(B27,Orders!A:A,Orders!B:B,"")</x:f>
        <x:v>46192</x:v>
      </x:c>
      <x:c r="M27" t="str">
        <x:f>XLOOKUP(C27,Products!A:A,Products!C:C,"")</x:f>
        <x:v>Accessories</x:v>
      </x:c>
    </x:row>
    <x:row r="28">
      <x:c r="A28" s="15" t="str">
        <x:v>ITEM00011_1</x:v>
      </x:c>
      <x:c r="B28" s="15" t="str">
        <x:v>ORD00011</x:v>
      </x:c>
      <x:c r="C28" s="15" t="str">
        <x:v>PROD004</x:v>
      </x:c>
      <x:c r="D28" s="15" t="n">
        <x:v>2</x:v>
      </x:c>
      <x:c r="E28" s="15" t="n">
        <x:v>5435.39</x:v>
      </x:c>
      <x:c r="F28" s="15" t="n">
        <x:v>0.05</x:v>
      </x:c>
      <x:c r="G28" s="15" t="n">
        <x:v>10870.78</x:v>
      </x:c>
      <x:c r="H28" s="15" t="n">
        <x:v>10327.24</x:v>
      </x:c>
      <x:c r="I28" s="15" t="n">
        <x:v>8282</x:v>
      </x:c>
      <x:c r="J28" s="15" t="n">
        <x:v>2045.24</x:v>
      </x:c>
      <x:c r="K28" t="str">
        <x:f>XLOOKUP(B28,Orders!A:A,Orders!E:E,"")</x:f>
        <x:v>West</x:v>
      </x:c>
      <x:c r="L28" t="n">
        <x:f>XLOOKUP(B28,Orders!A:A,Orders!B:B,"")</x:f>
        <x:v>45775</x:v>
      </x:c>
      <x:c r="M28" t="str">
        <x:f>XLOOKUP(C28,Products!A:A,Products!C:C,"")</x:f>
        <x:v>Office Supplies</x:v>
      </x:c>
    </x:row>
    <x:row r="29">
      <x:c r="A29" s="15" t="str">
        <x:v>ITEM00011_2</x:v>
      </x:c>
      <x:c r="B29" s="15" t="str">
        <x:v>ORD00011</x:v>
      </x:c>
      <x:c r="C29" s="15" t="str">
        <x:v>PROD019</x:v>
      </x:c>
      <x:c r="D29" s="15" t="n">
        <x:v>6</x:v>
      </x:c>
      <x:c r="E29" s="15" t="n">
        <x:v>5996.29</x:v>
      </x:c>
      <x:c r="F29" s="15" t="n">
        <x:v>0.05</x:v>
      </x:c>
      <x:c r="G29" s="15" t="n">
        <x:v>35977.74</x:v>
      </x:c>
      <x:c r="H29" s="15" t="n">
        <x:v>34178.85</x:v>
      </x:c>
      <x:c r="I29" s="15" t="n">
        <x:v>27060</x:v>
      </x:c>
      <x:c r="J29" s="15" t="n">
        <x:v>7118.85</x:v>
      </x:c>
      <x:c r="K29" t="str">
        <x:f>XLOOKUP(B29,Orders!A:A,Orders!E:E,"")</x:f>
        <x:v>West</x:v>
      </x:c>
      <x:c r="L29" t="n">
        <x:f>XLOOKUP(B29,Orders!A:A,Orders!B:B,"")</x:f>
        <x:v>45775</x:v>
      </x:c>
      <x:c r="M29" t="str">
        <x:f>XLOOKUP(C29,Products!A:A,Products!C:C,"")</x:f>
        <x:v>Electronics</x:v>
      </x:c>
    </x:row>
    <x:row r="30">
      <x:c r="A30" s="15" t="str">
        <x:v>ITEM00012_1</x:v>
      </x:c>
      <x:c r="B30" s="15" t="str">
        <x:v>ORD00012</x:v>
      </x:c>
      <x:c r="C30" s="15" t="str">
        <x:v>PROD029</x:v>
      </x:c>
      <x:c r="D30" s="15" t="n">
        <x:v>8</x:v>
      </x:c>
      <x:c r="E30" s="15" t="n">
        <x:v>8430.77</x:v>
      </x:c>
      <x:c r="F30" s="15" t="n">
        <x:v>0.05</x:v>
      </x:c>
      <x:c r="G30" s="15" t="n">
        <x:v>67446.16</x:v>
      </x:c>
      <x:c r="H30" s="15" t="n">
        <x:v>64073.85</x:v>
      </x:c>
      <x:c r="I30" s="15" t="n">
        <x:v>49480</x:v>
      </x:c>
      <x:c r="J30" s="15" t="n">
        <x:v>14593.85</x:v>
      </x:c>
      <x:c r="K30" t="str">
        <x:f>XLOOKUP(B30,Orders!A:A,Orders!E:E,"")</x:f>
        <x:v>South</x:v>
      </x:c>
      <x:c r="L30" t="n">
        <x:f>XLOOKUP(B30,Orders!A:A,Orders!B:B,"")</x:f>
        <x:v>45821</x:v>
      </x:c>
      <x:c r="M30" t="str">
        <x:f>XLOOKUP(C30,Products!A:A,Products!C:C,"")</x:f>
        <x:v>Office Supplies</x:v>
      </x:c>
    </x:row>
    <x:row r="31">
      <x:c r="A31" s="15" t="str">
        <x:v>ITEM00013_1</x:v>
      </x:c>
      <x:c r="B31" s="15" t="str">
        <x:v>ORD00013</x:v>
      </x:c>
      <x:c r="C31" s="15" t="str">
        <x:v>PROD015</x:v>
      </x:c>
      <x:c r="D31" s="15" t="n">
        <x:v>6</x:v>
      </x:c>
      <x:c r="E31" s="15" t="n">
        <x:v>5903.1</x:v>
      </x:c>
      <x:c r="F31" s="15" t="n">
        <x:v>0</x:v>
      </x:c>
      <x:c r="G31" s="15" t="n">
        <x:v>35418.6</x:v>
      </x:c>
      <x:c r="H31" s="15" t="n">
        <x:v>35418.6</x:v>
      </x:c>
      <x:c r="I31" s="15" t="n">
        <x:v>28710</x:v>
      </x:c>
      <x:c r="J31" s="15" t="n">
        <x:v>6708.6</x:v>
      </x:c>
      <x:c r="K31" t="str">
        <x:f>XLOOKUP(B31,Orders!A:A,Orders!E:E,"")</x:f>
        <x:v>West</x:v>
      </x:c>
      <x:c r="L31" t="n">
        <x:f>XLOOKUP(B31,Orders!A:A,Orders!B:B,"")</x:f>
        <x:v>45933</x:v>
      </x:c>
      <x:c r="M31" t="str">
        <x:f>XLOOKUP(C31,Products!A:A,Products!C:C,"")</x:f>
        <x:v>Electronics</x:v>
      </x:c>
    </x:row>
    <x:row r="32">
      <x:c r="A32" s="15" t="str">
        <x:v>ITEM00014_1</x:v>
      </x:c>
      <x:c r="B32" s="15" t="str">
        <x:v>ORD00014</x:v>
      </x:c>
      <x:c r="C32" s="15" t="str">
        <x:v>PROD003</x:v>
      </x:c>
      <x:c r="D32" s="15" t="n">
        <x:v>4</x:v>
      </x:c>
      <x:c r="E32" s="15" t="n">
        <x:v>10757.89</x:v>
      </x:c>
      <x:c r="F32" s="15" t="n">
        <x:v>0</x:v>
      </x:c>
      <x:c r="G32" s="15" t="n">
        <x:v>43031.56</x:v>
      </x:c>
      <x:c r="H32" s="15" t="n">
        <x:v>43031.56</x:v>
      </x:c>
      <x:c r="I32" s="15" t="n">
        <x:v>29684</x:v>
      </x:c>
      <x:c r="J32" s="15" t="n">
        <x:v>13347.56</x:v>
      </x:c>
      <x:c r="K32" t="str">
        <x:f>XLOOKUP(B32,Orders!A:A,Orders!E:E,"")</x:f>
        <x:v>West</x:v>
      </x:c>
      <x:c r="L32" t="n">
        <x:f>XLOOKUP(B32,Orders!A:A,Orders!B:B,"")</x:f>
        <x:v>45718</x:v>
      </x:c>
      <x:c r="M32" t="str">
        <x:f>XLOOKUP(C32,Products!A:A,Products!C:C,"")</x:f>
        <x:v>Accessories</x:v>
      </x:c>
    </x:row>
    <x:row r="33">
      <x:c r="A33" s="15" t="str">
        <x:v>ITEM00014_2</x:v>
      </x:c>
      <x:c r="B33" s="15" t="str">
        <x:v>ORD00014</x:v>
      </x:c>
      <x:c r="C33" s="15" t="str">
        <x:v>PROD035</x:v>
      </x:c>
      <x:c r="D33" s="15" t="n">
        <x:v>2</x:v>
      </x:c>
      <x:c r="E33" s="15" t="n">
        <x:v>3972.26</x:v>
      </x:c>
      <x:c r="F33" s="15" t="n">
        <x:v>0</x:v>
      </x:c>
      <x:c r="G33" s="15" t="n">
        <x:v>7944.52</x:v>
      </x:c>
      <x:c r="H33" s="15" t="n">
        <x:v>7944.52</x:v>
      </x:c>
      <x:c r="I33" s="15" t="n">
        <x:v>6374</x:v>
      </x:c>
      <x:c r="J33" s="15" t="n">
        <x:v>1570.52</x:v>
      </x:c>
      <x:c r="K33" t="str">
        <x:f>XLOOKUP(B33,Orders!A:A,Orders!E:E,"")</x:f>
        <x:v>West</x:v>
      </x:c>
      <x:c r="L33" t="n">
        <x:f>XLOOKUP(B33,Orders!A:A,Orders!B:B,"")</x:f>
        <x:v>45718</x:v>
      </x:c>
      <x:c r="M33" t="str">
        <x:f>XLOOKUP(C33,Products!A:A,Products!C:C,"")</x:f>
        <x:v>Electronics</x:v>
      </x:c>
    </x:row>
    <x:row r="34">
      <x:c r="A34" s="15" t="str">
        <x:v>ITEM00014_3</x:v>
      </x:c>
      <x:c r="B34" s="15" t="str">
        <x:v>ORD00014</x:v>
      </x:c>
      <x:c r="C34" s="15" t="str">
        <x:v>PROD031</x:v>
      </x:c>
      <x:c r="D34" s="15" t="n">
        <x:v>3</x:v>
      </x:c>
      <x:c r="E34" s="15" t="n">
        <x:v>3371.81</x:v>
      </x:c>
      <x:c r="F34" s="15" t="n">
        <x:v>0</x:v>
      </x:c>
      <x:c r="G34" s="15" t="n">
        <x:v>10115.43</x:v>
      </x:c>
      <x:c r="H34" s="15" t="n">
        <x:v>10115.43</x:v>
      </x:c>
      <x:c r="I34" s="15" t="n">
        <x:v>8391</x:v>
      </x:c>
      <x:c r="J34" s="15" t="n">
        <x:v>1724.43</x:v>
      </x:c>
      <x:c r="K34" t="str">
        <x:f>XLOOKUP(B34,Orders!A:A,Orders!E:E,"")</x:f>
        <x:v>West</x:v>
      </x:c>
      <x:c r="L34" t="n">
        <x:f>XLOOKUP(B34,Orders!A:A,Orders!B:B,"")</x:f>
        <x:v>45718</x:v>
      </x:c>
      <x:c r="M34" t="str">
        <x:f>XLOOKUP(C34,Products!A:A,Products!C:C,"")</x:f>
        <x:v>Furniture</x:v>
      </x:c>
    </x:row>
    <x:row r="35">
      <x:c r="A35" s="15" t="str">
        <x:v>ITEM00014_4</x:v>
      </x:c>
      <x:c r="B35" s="15" t="str">
        <x:v>ORD00014</x:v>
      </x:c>
      <x:c r="C35" s="15" t="str">
        <x:v>PROD029</x:v>
      </x:c>
      <x:c r="D35" s="15" t="n">
        <x:v>8</x:v>
      </x:c>
      <x:c r="E35" s="15" t="n">
        <x:v>8430.77</x:v>
      </x:c>
      <x:c r="F35" s="15" t="n">
        <x:v>0</x:v>
      </x:c>
      <x:c r="G35" s="15" t="n">
        <x:v>67446.16</x:v>
      </x:c>
      <x:c r="H35" s="15" t="n">
        <x:v>67446.16</x:v>
      </x:c>
      <x:c r="I35" s="15" t="n">
        <x:v>49480</x:v>
      </x:c>
      <x:c r="J35" s="15" t="n">
        <x:v>17966.16</x:v>
      </x:c>
      <x:c r="K35" t="str">
        <x:f>XLOOKUP(B35,Orders!A:A,Orders!E:E,"")</x:f>
        <x:v>West</x:v>
      </x:c>
      <x:c r="L35" t="n">
        <x:f>XLOOKUP(B35,Orders!A:A,Orders!B:B,"")</x:f>
        <x:v>45718</x:v>
      </x:c>
      <x:c r="M35" t="str">
        <x:f>XLOOKUP(C35,Products!A:A,Products!C:C,"")</x:f>
        <x:v>Office Supplies</x:v>
      </x:c>
    </x:row>
    <x:row r="36">
      <x:c r="A36" s="15" t="str">
        <x:v>ITEM00015_1</x:v>
      </x:c>
      <x:c r="B36" s="15" t="str">
        <x:v>ORD00015</x:v>
      </x:c>
      <x:c r="C36" s="15" t="str">
        <x:v>PROD030</x:v>
      </x:c>
      <x:c r="D36" s="15" t="n">
        <x:v>4</x:v>
      </x:c>
      <x:c r="E36" s="15" t="n">
        <x:v>5180.7</x:v>
      </x:c>
      <x:c r="F36" s="15" t="n">
        <x:v>0</x:v>
      </x:c>
      <x:c r="G36" s="15" t="n">
        <x:v>20722.8</x:v>
      </x:c>
      <x:c r="H36" s="15" t="n">
        <x:v>20722.8</x:v>
      </x:c>
      <x:c r="I36" s="15" t="n">
        <x:v>15552</x:v>
      </x:c>
      <x:c r="J36" s="15" t="n">
        <x:v>5170.8</x:v>
      </x:c>
      <x:c r="K36" t="str">
        <x:f>XLOOKUP(B36,Orders!A:A,Orders!E:E,"")</x:f>
        <x:v>East</x:v>
      </x:c>
      <x:c r="L36" t="n">
        <x:f>XLOOKUP(B36,Orders!A:A,Orders!B:B,"")</x:f>
        <x:v>45740</x:v>
      </x:c>
      <x:c r="M36" t="str">
        <x:f>XLOOKUP(C36,Products!A:A,Products!C:C,"")</x:f>
        <x:v>Office Supplies</x:v>
      </x:c>
    </x:row>
    <x:row r="37">
      <x:c r="A37" s="15" t="str">
        <x:v>ITEM00015_2</x:v>
      </x:c>
      <x:c r="B37" s="15" t="str">
        <x:v>ORD00015</x:v>
      </x:c>
      <x:c r="C37" s="15" t="str">
        <x:v>PROD004</x:v>
      </x:c>
      <x:c r="D37" s="15" t="n">
        <x:v>2</x:v>
      </x:c>
      <x:c r="E37" s="15" t="n">
        <x:v>5435.39</x:v>
      </x:c>
      <x:c r="F37" s="15" t="n">
        <x:v>0</x:v>
      </x:c>
      <x:c r="G37" s="15" t="n">
        <x:v>10870.78</x:v>
      </x:c>
      <x:c r="H37" s="15" t="n">
        <x:v>10870.78</x:v>
      </x:c>
      <x:c r="I37" s="15" t="n">
        <x:v>8282</x:v>
      </x:c>
      <x:c r="J37" s="15" t="n">
        <x:v>2588.78</x:v>
      </x:c>
      <x:c r="K37" t="str">
        <x:f>XLOOKUP(B37,Orders!A:A,Orders!E:E,"")</x:f>
        <x:v>East</x:v>
      </x:c>
      <x:c r="L37" t="n">
        <x:f>XLOOKUP(B37,Orders!A:A,Orders!B:B,"")</x:f>
        <x:v>45740</x:v>
      </x:c>
      <x:c r="M37" t="str">
        <x:f>XLOOKUP(C37,Products!A:A,Products!C:C,"")</x:f>
        <x:v>Office Supplies</x:v>
      </x:c>
    </x:row>
    <x:row r="38">
      <x:c r="A38" s="15" t="str">
        <x:v>ITEM00015_3</x:v>
      </x:c>
      <x:c r="B38" s="15" t="str">
        <x:v>ORD00015</x:v>
      </x:c>
      <x:c r="C38" s="15" t="str">
        <x:v>PROD029</x:v>
      </x:c>
      <x:c r="D38" s="15" t="n">
        <x:v>5</x:v>
      </x:c>
      <x:c r="E38" s="15" t="n">
        <x:v>8430.77</x:v>
      </x:c>
      <x:c r="F38" s="15" t="n">
        <x:v>0</x:v>
      </x:c>
      <x:c r="G38" s="15" t="n">
        <x:v>42153.85</x:v>
      </x:c>
      <x:c r="H38" s="15" t="n">
        <x:v>42153.85</x:v>
      </x:c>
      <x:c r="I38" s="15" t="n">
        <x:v>30925</x:v>
      </x:c>
      <x:c r="J38" s="15" t="n">
        <x:v>11228.85</x:v>
      </x:c>
      <x:c r="K38" t="str">
        <x:f>XLOOKUP(B38,Orders!A:A,Orders!E:E,"")</x:f>
        <x:v>East</x:v>
      </x:c>
      <x:c r="L38" t="n">
        <x:f>XLOOKUP(B38,Orders!A:A,Orders!B:B,"")</x:f>
        <x:v>45740</x:v>
      </x:c>
      <x:c r="M38" t="str">
        <x:f>XLOOKUP(C38,Products!A:A,Products!C:C,"")</x:f>
        <x:v>Office Supplies</x:v>
      </x:c>
    </x:row>
    <x:row r="39">
      <x:c r="A39" s="15" t="str">
        <x:v>ITEM00016_1</x:v>
      </x:c>
      <x:c r="B39" s="15" t="str">
        <x:v>ORD00016</x:v>
      </x:c>
      <x:c r="C39" s="15" t="str">
        <x:v>PROD027</x:v>
      </x:c>
      <x:c r="D39" s="15" t="n">
        <x:v>6</x:v>
      </x:c>
      <x:c r="E39" s="15" t="n">
        <x:v>6979.71</x:v>
      </x:c>
      <x:c r="F39" s="15" t="n">
        <x:v>0.1</x:v>
      </x:c>
      <x:c r="G39" s="15" t="n">
        <x:v>41878.26</x:v>
      </x:c>
      <x:c r="H39" s="15" t="n">
        <x:v>37690.43</x:v>
      </x:c>
      <x:c r="I39" s="15" t="n">
        <x:v>33822</x:v>
      </x:c>
      <x:c r="J39" s="15" t="n">
        <x:v>3868.43</x:v>
      </x:c>
      <x:c r="K39" t="str">
        <x:f>XLOOKUP(B39,Orders!A:A,Orders!E:E,"")</x:f>
        <x:v>East</x:v>
      </x:c>
      <x:c r="L39" t="n">
        <x:f>XLOOKUP(B39,Orders!A:A,Orders!B:B,"")</x:f>
        <x:v>45775</x:v>
      </x:c>
      <x:c r="M39" t="str">
        <x:f>XLOOKUP(C39,Products!A:A,Products!C:C,"")</x:f>
        <x:v>Electronics</x:v>
      </x:c>
    </x:row>
    <x:row r="40">
      <x:c r="A40" s="15" t="str">
        <x:v>ITEM00016_2</x:v>
      </x:c>
      <x:c r="B40" s="15" t="str">
        <x:v>ORD00016</x:v>
      </x:c>
      <x:c r="C40" s="15" t="str">
        <x:v>PROD025</x:v>
      </x:c>
      <x:c r="D40" s="15" t="n">
        <x:v>8</x:v>
      </x:c>
      <x:c r="E40" s="15" t="n">
        <x:v>1148.84</x:v>
      </x:c>
      <x:c r="F40" s="15" t="n">
        <x:v>0.1</x:v>
      </x:c>
      <x:c r="G40" s="15" t="n">
        <x:v>9190.72</x:v>
      </x:c>
      <x:c r="H40" s="15" t="n">
        <x:v>8271.65</x:v>
      </x:c>
      <x:c r="I40" s="15" t="n">
        <x:v>7024</x:v>
      </x:c>
      <x:c r="J40" s="15" t="n">
        <x:v>1247.65</x:v>
      </x:c>
      <x:c r="K40" t="str">
        <x:f>XLOOKUP(B40,Orders!A:A,Orders!E:E,"")</x:f>
        <x:v>East</x:v>
      </x:c>
      <x:c r="L40" t="n">
        <x:f>XLOOKUP(B40,Orders!A:A,Orders!B:B,"")</x:f>
        <x:v>45775</x:v>
      </x:c>
      <x:c r="M40" t="str">
        <x:f>XLOOKUP(C40,Products!A:A,Products!C:C,"")</x:f>
        <x:v>Furniture</x:v>
      </x:c>
    </x:row>
    <x:row r="41">
      <x:c r="A41" s="15" t="str">
        <x:v>ITEM00016_3</x:v>
      </x:c>
      <x:c r="B41" s="15" t="str">
        <x:v>ORD00016</x:v>
      </x:c>
      <x:c r="C41" s="15" t="str">
        <x:v>PROD033</x:v>
      </x:c>
      <x:c r="D41" s="15" t="n">
        <x:v>2</x:v>
      </x:c>
      <x:c r="E41" s="15" t="n">
        <x:v>3912.41</x:v>
      </x:c>
      <x:c r="F41" s="15" t="n">
        <x:v>0.1</x:v>
      </x:c>
      <x:c r="G41" s="15" t="n">
        <x:v>7824.82</x:v>
      </x:c>
      <x:c r="H41" s="15" t="n">
        <x:v>7042.34</x:v>
      </x:c>
      <x:c r="I41" s="15" t="n">
        <x:v>5982</x:v>
      </x:c>
      <x:c r="J41" s="15" t="n">
        <x:v>1060.34</x:v>
      </x:c>
      <x:c r="K41" t="str">
        <x:f>XLOOKUP(B41,Orders!A:A,Orders!E:E,"")</x:f>
        <x:v>East</x:v>
      </x:c>
      <x:c r="L41" t="n">
        <x:f>XLOOKUP(B41,Orders!A:A,Orders!B:B,"")</x:f>
        <x:v>45775</x:v>
      </x:c>
      <x:c r="M41" t="str">
        <x:f>XLOOKUP(C41,Products!A:A,Products!C:C,"")</x:f>
        <x:v>Furniture</x:v>
      </x:c>
    </x:row>
    <x:row r="42">
      <x:c r="A42" s="15" t="str">
        <x:v>ITEM00017_1</x:v>
      </x:c>
      <x:c r="B42" s="15" t="str">
        <x:v>ORD00017</x:v>
      </x:c>
      <x:c r="C42" s="15" t="str">
        <x:v>PROD005</x:v>
      </x:c>
      <x:c r="D42" s="15" t="n">
        <x:v>5</x:v>
      </x:c>
      <x:c r="E42" s="15" t="n">
        <x:v>6453.62</x:v>
      </x:c>
      <x:c r="F42" s="15" t="n">
        <x:v>0</x:v>
      </x:c>
      <x:c r="G42" s="15" t="n">
        <x:v>32268.1</x:v>
      </x:c>
      <x:c r="H42" s="15" t="n">
        <x:v>32268.1</x:v>
      </x:c>
      <x:c r="I42" s="15" t="n">
        <x:v>24240</x:v>
      </x:c>
      <x:c r="J42" s="15" t="n">
        <x:v>8028.1</x:v>
      </x:c>
      <x:c r="K42" t="str">
        <x:f>XLOOKUP(B42,Orders!A:A,Orders!E:E,"")</x:f>
        <x:v>East</x:v>
      </x:c>
      <x:c r="L42" t="n">
        <x:f>XLOOKUP(B42,Orders!A:A,Orders!B:B,"")</x:f>
        <x:v>46117</x:v>
      </x:c>
      <x:c r="M42" t="str">
        <x:f>XLOOKUP(C42,Products!A:A,Products!C:C,"")</x:f>
        <x:v>Office Supplies</x:v>
      </x:c>
    </x:row>
    <x:row r="43">
      <x:c r="A43" s="15" t="str">
        <x:v>ITEM00017_2</x:v>
      </x:c>
      <x:c r="B43" s="15" t="str">
        <x:v>ORD00017</x:v>
      </x:c>
      <x:c r="C43" s="15" t="str">
        <x:v>PROD035</x:v>
      </x:c>
      <x:c r="D43" s="15" t="n">
        <x:v>1</x:v>
      </x:c>
      <x:c r="E43" s="15" t="n">
        <x:v>3972.26</x:v>
      </x:c>
      <x:c r="F43" s="15" t="n">
        <x:v>0</x:v>
      </x:c>
      <x:c r="G43" s="15" t="n">
        <x:v>3972.26</x:v>
      </x:c>
      <x:c r="H43" s="15" t="n">
        <x:v>3972.26</x:v>
      </x:c>
      <x:c r="I43" s="15" t="n">
        <x:v>3187</x:v>
      </x:c>
      <x:c r="J43" s="15" t="n">
        <x:v>785.26</x:v>
      </x:c>
      <x:c r="K43" t="str">
        <x:f>XLOOKUP(B43,Orders!A:A,Orders!E:E,"")</x:f>
        <x:v>East</x:v>
      </x:c>
      <x:c r="L43" t="n">
        <x:f>XLOOKUP(B43,Orders!A:A,Orders!B:B,"")</x:f>
        <x:v>46117</x:v>
      </x:c>
      <x:c r="M43" t="str">
        <x:f>XLOOKUP(C43,Products!A:A,Products!C:C,"")</x:f>
        <x:v>Electronics</x:v>
      </x:c>
    </x:row>
    <x:row r="44">
      <x:c r="A44" s="15" t="str">
        <x:v>ITEM00018_1</x:v>
      </x:c>
      <x:c r="B44" s="15" t="str">
        <x:v>ORD00018</x:v>
      </x:c>
      <x:c r="C44" s="15" t="str">
        <x:v>PROD019</x:v>
      </x:c>
      <x:c r="D44" s="15" t="n">
        <x:v>6</x:v>
      </x:c>
      <x:c r="E44" s="15" t="n">
        <x:v>5996.29</x:v>
      </x:c>
      <x:c r="F44" s="15" t="n">
        <x:v>0.05</x:v>
      </x:c>
      <x:c r="G44" s="15" t="n">
        <x:v>35977.74</x:v>
      </x:c>
      <x:c r="H44" s="15" t="n">
        <x:v>34178.85</x:v>
      </x:c>
      <x:c r="I44" s="15" t="n">
        <x:v>27060</x:v>
      </x:c>
      <x:c r="J44" s="15" t="n">
        <x:v>7118.85</x:v>
      </x:c>
      <x:c r="K44" t="str">
        <x:f>XLOOKUP(B44,Orders!A:A,Orders!E:E,"")</x:f>
        <x:v>North</x:v>
      </x:c>
      <x:c r="L44" t="n">
        <x:f>XLOOKUP(B44,Orders!A:A,Orders!B:B,"")</x:f>
        <x:v>46115</x:v>
      </x:c>
      <x:c r="M44" t="str">
        <x:f>XLOOKUP(C44,Products!A:A,Products!C:C,"")</x:f>
        <x:v>Electronics</x:v>
      </x:c>
    </x:row>
    <x:row r="45">
      <x:c r="A45" s="15" t="str">
        <x:v>ITEM00019_1</x:v>
      </x:c>
      <x:c r="B45" s="15" t="str">
        <x:v>ORD00019</x:v>
      </x:c>
      <x:c r="C45" s="15" t="str">
        <x:v>PROD008</x:v>
      </x:c>
      <x:c r="D45" s="15" t="n">
        <x:v>1</x:v>
      </x:c>
      <x:c r="E45" s="15" t="n">
        <x:v>8534.48</x:v>
      </x:c>
      <x:c r="F45" s="15" t="n">
        <x:v>0</x:v>
      </x:c>
      <x:c r="G45" s="15" t="n">
        <x:v>8534.48</x:v>
      </x:c>
      <x:c r="H45" s="15" t="n">
        <x:v>8534.48</x:v>
      </x:c>
      <x:c r="I45" s="15" t="n">
        <x:v>6197</x:v>
      </x:c>
      <x:c r="J45" s="15" t="n">
        <x:v>2337.48</x:v>
      </x:c>
      <x:c r="K45" t="str">
        <x:f>XLOOKUP(B45,Orders!A:A,Orders!E:E,"")</x:f>
        <x:v>East</x:v>
      </x:c>
      <x:c r="L45" t="n">
        <x:f>XLOOKUP(B45,Orders!A:A,Orders!B:B,"")</x:f>
        <x:v>45844</x:v>
      </x:c>
      <x:c r="M45" t="str">
        <x:f>XLOOKUP(C45,Products!A:A,Products!C:C,"")</x:f>
        <x:v>Office Supplies</x:v>
      </x:c>
    </x:row>
    <x:row r="46">
      <x:c r="A46" s="15" t="str">
        <x:v>ITEM00020_1</x:v>
      </x:c>
      <x:c r="B46" s="15" t="str">
        <x:v>ORD00020</x:v>
      </x:c>
      <x:c r="C46" s="15" t="str">
        <x:v>PROD029</x:v>
      </x:c>
      <x:c r="D46" s="15" t="n">
        <x:v>3</x:v>
      </x:c>
      <x:c r="E46" s="15" t="n">
        <x:v>8430.77</x:v>
      </x:c>
      <x:c r="F46" s="15" t="n">
        <x:v>0.15</x:v>
      </x:c>
      <x:c r="G46" s="15" t="n">
        <x:v>25292.31</x:v>
      </x:c>
      <x:c r="H46" s="15" t="n">
        <x:v>21498.46</x:v>
      </x:c>
      <x:c r="I46" s="15" t="n">
        <x:v>18555</x:v>
      </x:c>
      <x:c r="J46" s="15" t="n">
        <x:v>2943.46</x:v>
      </x:c>
      <x:c r="K46" t="str">
        <x:f>XLOOKUP(B46,Orders!A:A,Orders!E:E,"")</x:f>
        <x:v>North</x:v>
      </x:c>
      <x:c r="L46" t="n">
        <x:f>XLOOKUP(B46,Orders!A:A,Orders!B:B,"")</x:f>
        <x:v>45759</x:v>
      </x:c>
      <x:c r="M46" t="str">
        <x:f>XLOOKUP(C46,Products!A:A,Products!C:C,"")</x:f>
        <x:v>Office Supplies</x:v>
      </x:c>
    </x:row>
    <x:row r="47">
      <x:c r="A47" s="15" t="str">
        <x:v>ITEM00020_2</x:v>
      </x:c>
      <x:c r="B47" s="15" t="str">
        <x:v>ORD00020</x:v>
      </x:c>
      <x:c r="C47" s="15" t="str">
        <x:v>PROD016</x:v>
      </x:c>
      <x:c r="D47" s="15" t="n">
        <x:v>7</x:v>
      </x:c>
      <x:c r="E47" s="15" t="n">
        <x:v>3884.33</x:v>
      </x:c>
      <x:c r="F47" s="15" t="n">
        <x:v>0.05</x:v>
      </x:c>
      <x:c r="G47" s="15" t="n">
        <x:v>27190.31</x:v>
      </x:c>
      <x:c r="H47" s="15" t="n">
        <x:v>25830.79</x:v>
      </x:c>
      <x:c r="I47" s="15" t="n">
        <x:v>21329</x:v>
      </x:c>
      <x:c r="J47" s="15" t="n">
        <x:v>4501.79</x:v>
      </x:c>
      <x:c r="K47" t="str">
        <x:f>XLOOKUP(B47,Orders!A:A,Orders!E:E,"")</x:f>
        <x:v>North</x:v>
      </x:c>
      <x:c r="L47" t="n">
        <x:f>XLOOKUP(B47,Orders!A:A,Orders!B:B,"")</x:f>
        <x:v>45759</x:v>
      </x:c>
      <x:c r="M47" t="str">
        <x:f>XLOOKUP(C47,Products!A:A,Products!C:C,"")</x:f>
        <x:v>Electronics</x:v>
      </x:c>
    </x:row>
    <x:row r="48">
      <x:c r="A48" s="15" t="str">
        <x:v>ITEM00020_3</x:v>
      </x:c>
      <x:c r="B48" s="15" t="str">
        <x:v>ORD00020</x:v>
      </x:c>
      <x:c r="C48" s="15" t="str">
        <x:v>PROD027</x:v>
      </x:c>
      <x:c r="D48" s="15" t="n">
        <x:v>7</x:v>
      </x:c>
      <x:c r="E48" s="15" t="n">
        <x:v>6979.71</x:v>
      </x:c>
      <x:c r="F48" s="15" t="n">
        <x:v>0</x:v>
      </x:c>
      <x:c r="G48" s="15" t="n">
        <x:v>48857.97</x:v>
      </x:c>
      <x:c r="H48" s="15" t="n">
        <x:v>48857.97</x:v>
      </x:c>
      <x:c r="I48" s="15" t="n">
        <x:v>39459</x:v>
      </x:c>
      <x:c r="J48" s="15" t="n">
        <x:v>9398.97</x:v>
      </x:c>
      <x:c r="K48" t="str">
        <x:f>XLOOKUP(B48,Orders!A:A,Orders!E:E,"")</x:f>
        <x:v>North</x:v>
      </x:c>
      <x:c r="L48" t="n">
        <x:f>XLOOKUP(B48,Orders!A:A,Orders!B:B,"")</x:f>
        <x:v>45759</x:v>
      </x:c>
      <x:c r="M48" t="str">
        <x:f>XLOOKUP(C48,Products!A:A,Products!C:C,"")</x:f>
        <x:v>Electronics</x:v>
      </x:c>
    </x:row>
    <x:row r="49">
      <x:c r="A49" s="15" t="str">
        <x:v>ITEM00020_4</x:v>
      </x:c>
      <x:c r="B49" s="15" t="str">
        <x:v>ORD00020</x:v>
      </x:c>
      <x:c r="C49" s="15" t="str">
        <x:v>PROD011</x:v>
      </x:c>
      <x:c r="D49" s="15" t="n">
        <x:v>1</x:v>
      </x:c>
      <x:c r="E49" s="15" t="n">
        <x:v>7135.27</x:v>
      </x:c>
      <x:c r="F49" s="15" t="n">
        <x:v>0.1</x:v>
      </x:c>
      <x:c r="G49" s="15" t="n">
        <x:v>7135.27</x:v>
      </x:c>
      <x:c r="H49" s="15" t="n">
        <x:v>6421.74</x:v>
      </x:c>
      <x:c r="I49" s="15" t="n">
        <x:v>5203</x:v>
      </x:c>
      <x:c r="J49" s="15" t="n">
        <x:v>1218.74</x:v>
      </x:c>
      <x:c r="K49" t="str">
        <x:f>XLOOKUP(B49,Orders!A:A,Orders!E:E,"")</x:f>
        <x:v>North</x:v>
      </x:c>
      <x:c r="L49" t="n">
        <x:f>XLOOKUP(B49,Orders!A:A,Orders!B:B,"")</x:f>
        <x:v>45759</x:v>
      </x:c>
      <x:c r="M49" t="str">
        <x:f>XLOOKUP(C49,Products!A:A,Products!C:C,"")</x:f>
        <x:v>Accessories</x:v>
      </x:c>
    </x:row>
    <x:row r="50">
      <x:c r="A50" s="15" t="str">
        <x:v>ITEM00021_1</x:v>
      </x:c>
      <x:c r="B50" s="15" t="str">
        <x:v>ORD00021</x:v>
      </x:c>
      <x:c r="C50" s="15" t="str">
        <x:v>PROD019</x:v>
      </x:c>
      <x:c r="D50" s="15" t="n">
        <x:v>3</x:v>
      </x:c>
      <x:c r="E50" s="15" t="n">
        <x:v>5996.29</x:v>
      </x:c>
      <x:c r="F50" s="15" t="n">
        <x:v>0.1</x:v>
      </x:c>
      <x:c r="G50" s="15" t="n">
        <x:v>17988.87</x:v>
      </x:c>
      <x:c r="H50" s="15" t="n">
        <x:v>16189.98</x:v>
      </x:c>
      <x:c r="I50" s="15" t="n">
        <x:v>13530</x:v>
      </x:c>
      <x:c r="J50" s="15" t="n">
        <x:v>2659.98</x:v>
      </x:c>
      <x:c r="K50" t="str">
        <x:f>XLOOKUP(B50,Orders!A:A,Orders!E:E,"")</x:f>
        <x:v>North</x:v>
      </x:c>
      <x:c r="L50" t="n">
        <x:f>XLOOKUP(B50,Orders!A:A,Orders!B:B,"")</x:f>
        <x:v>45940</x:v>
      </x:c>
      <x:c r="M50" t="str">
        <x:f>XLOOKUP(C50,Products!A:A,Products!C:C,"")</x:f>
        <x:v>Electronics</x:v>
      </x:c>
    </x:row>
    <x:row r="51">
      <x:c r="A51" s="15" t="str">
        <x:v>ITEM00022_1</x:v>
      </x:c>
      <x:c r="B51" s="15" t="str">
        <x:v>ORD00022</x:v>
      </x:c>
      <x:c r="C51" s="15" t="str">
        <x:v>PROD029</x:v>
      </x:c>
      <x:c r="D51" s="15" t="n">
        <x:v>3</x:v>
      </x:c>
      <x:c r="E51" s="15" t="n">
        <x:v>8430.77</x:v>
      </x:c>
      <x:c r="F51" s="15" t="n">
        <x:v>0.05</x:v>
      </x:c>
      <x:c r="G51" s="15" t="n">
        <x:v>25292.31</x:v>
      </x:c>
      <x:c r="H51" s="15" t="n">
        <x:v>24027.69</x:v>
      </x:c>
      <x:c r="I51" s="15" t="n">
        <x:v>18555</x:v>
      </x:c>
      <x:c r="J51" s="15" t="n">
        <x:v>5472.69</x:v>
      </x:c>
      <x:c r="K51" t="str">
        <x:f>XLOOKUP(B51,Orders!A:A,Orders!E:E,"")</x:f>
        <x:v>North</x:v>
      </x:c>
      <x:c r="L51" t="n">
        <x:f>XLOOKUP(B51,Orders!A:A,Orders!B:B,"")</x:f>
        <x:v>45800</x:v>
      </x:c>
      <x:c r="M51" t="str">
        <x:f>XLOOKUP(C51,Products!A:A,Products!C:C,"")</x:f>
        <x:v>Office Supplies</x:v>
      </x:c>
    </x:row>
    <x:row r="52">
      <x:c r="A52" s="15" t="str">
        <x:v>ITEM00022_2</x:v>
      </x:c>
      <x:c r="B52" s="15" t="str">
        <x:v>ORD00022</x:v>
      </x:c>
      <x:c r="C52" s="15" t="str">
        <x:v>PROD031</x:v>
      </x:c>
      <x:c r="D52" s="15" t="n">
        <x:v>7</x:v>
      </x:c>
      <x:c r="E52" s="15" t="n">
        <x:v>3371.81</x:v>
      </x:c>
      <x:c r="F52" s="15" t="n">
        <x:v>0.05</x:v>
      </x:c>
      <x:c r="G52" s="15" t="n">
        <x:v>23602.67</x:v>
      </x:c>
      <x:c r="H52" s="15" t="n">
        <x:v>22422.54</x:v>
      </x:c>
      <x:c r="I52" s="15" t="n">
        <x:v>19579</x:v>
      </x:c>
      <x:c r="J52" s="15" t="n">
        <x:v>2843.54</x:v>
      </x:c>
      <x:c r="K52" t="str">
        <x:f>XLOOKUP(B52,Orders!A:A,Orders!E:E,"")</x:f>
        <x:v>North</x:v>
      </x:c>
      <x:c r="L52" t="n">
        <x:f>XLOOKUP(B52,Orders!A:A,Orders!B:B,"")</x:f>
        <x:v>45800</x:v>
      </x:c>
      <x:c r="M52" t="str">
        <x:f>XLOOKUP(C52,Products!A:A,Products!C:C,"")</x:f>
        <x:v>Furniture</x:v>
      </x:c>
    </x:row>
    <x:row r="53">
      <x:c r="A53" s="15" t="str">
        <x:v>ITEM00023_1</x:v>
      </x:c>
      <x:c r="B53" s="15" t="str">
        <x:v>ORD00023</x:v>
      </x:c>
      <x:c r="C53" s="15" t="str">
        <x:v>PROD012</x:v>
      </x:c>
      <x:c r="D53" s="15" t="n">
        <x:v>2</x:v>
      </x:c>
      <x:c r="E53" s="15" t="n">
        <x:v>7989.38</x:v>
      </x:c>
      <x:c r="F53" s="15" t="n">
        <x:v>0.05</x:v>
      </x:c>
      <x:c r="G53" s="15" t="n">
        <x:v>15978.76</x:v>
      </x:c>
      <x:c r="H53" s="15" t="n">
        <x:v>15179.82</x:v>
      </x:c>
      <x:c r="I53" s="15" t="n">
        <x:v>12970</x:v>
      </x:c>
      <x:c r="J53" s="15" t="n">
        <x:v>2209.82</x:v>
      </x:c>
      <x:c r="K53" t="str">
        <x:f>XLOOKUP(B53,Orders!A:A,Orders!E:E,"")</x:f>
        <x:v>North</x:v>
      </x:c>
      <x:c r="L53" t="n">
        <x:f>XLOOKUP(B53,Orders!A:A,Orders!B:B,"")</x:f>
        <x:v>45875</x:v>
      </x:c>
      <x:c r="M53" t="str">
        <x:f>XLOOKUP(C53,Products!A:A,Products!C:C,"")</x:f>
        <x:v>Electronics</x:v>
      </x:c>
    </x:row>
    <x:row r="54">
      <x:c r="A54" s="15" t="str">
        <x:v>ITEM00023_2</x:v>
      </x:c>
      <x:c r="B54" s="15" t="str">
        <x:v>ORD00023</x:v>
      </x:c>
      <x:c r="C54" s="15" t="str">
        <x:v>PROD020</x:v>
      </x:c>
      <x:c r="D54" s="15" t="n">
        <x:v>1</x:v>
      </x:c>
      <x:c r="E54" s="15" t="n">
        <x:v>6564.04</x:v>
      </x:c>
      <x:c r="F54" s="15" t="n">
        <x:v>0</x:v>
      </x:c>
      <x:c r="G54" s="15" t="n">
        <x:v>6564.04</x:v>
      </x:c>
      <x:c r="H54" s="15" t="n">
        <x:v>6564.04</x:v>
      </x:c>
      <x:c r="I54" s="15" t="n">
        <x:v>4585</x:v>
      </x:c>
      <x:c r="J54" s="15" t="n">
        <x:v>1979.04</x:v>
      </x:c>
      <x:c r="K54" t="str">
        <x:f>XLOOKUP(B54,Orders!A:A,Orders!E:E,"")</x:f>
        <x:v>North</x:v>
      </x:c>
      <x:c r="L54" t="n">
        <x:f>XLOOKUP(B54,Orders!A:A,Orders!B:B,"")</x:f>
        <x:v>45875</x:v>
      </x:c>
      <x:c r="M54" t="str">
        <x:f>XLOOKUP(C54,Products!A:A,Products!C:C,"")</x:f>
        <x:v>Accessories</x:v>
      </x:c>
    </x:row>
    <x:row r="55">
      <x:c r="A55" s="15" t="str">
        <x:v>ITEM00023_3</x:v>
      </x:c>
      <x:c r="B55" s="15" t="str">
        <x:v>ORD00023</x:v>
      </x:c>
      <x:c r="C55" s="15" t="str">
        <x:v>PROD031</x:v>
      </x:c>
      <x:c r="D55" s="15" t="n">
        <x:v>5</x:v>
      </x:c>
      <x:c r="E55" s="15" t="n">
        <x:v>3371.81</x:v>
      </x:c>
      <x:c r="F55" s="15" t="n">
        <x:v>0.15</x:v>
      </x:c>
      <x:c r="G55" s="15" t="n">
        <x:v>16859.05</x:v>
      </x:c>
      <x:c r="H55" s="15" t="n">
        <x:v>14330.19</x:v>
      </x:c>
      <x:c r="I55" s="15" t="n">
        <x:v>13985</x:v>
      </x:c>
      <x:c r="J55" s="15" t="n">
        <x:v>345.19</x:v>
      </x:c>
      <x:c r="K55" t="str">
        <x:f>XLOOKUP(B55,Orders!A:A,Orders!E:E,"")</x:f>
        <x:v>North</x:v>
      </x:c>
      <x:c r="L55" t="n">
        <x:f>XLOOKUP(B55,Orders!A:A,Orders!B:B,"")</x:f>
        <x:v>45875</x:v>
      </x:c>
      <x:c r="M55" t="str">
        <x:f>XLOOKUP(C55,Products!A:A,Products!C:C,"")</x:f>
        <x:v>Furniture</x:v>
      </x:c>
    </x:row>
    <x:row r="56">
      <x:c r="A56" s="15" t="str">
        <x:v>ITEM00024_1</x:v>
      </x:c>
      <x:c r="B56" s="15" t="str">
        <x:v>ORD00024</x:v>
      </x:c>
      <x:c r="C56" s="15" t="str">
        <x:v>PROD018</x:v>
      </x:c>
      <x:c r="D56" s="15" t="n">
        <x:v>4</x:v>
      </x:c>
      <x:c r="E56" s="15" t="n">
        <x:v>5637.8</x:v>
      </x:c>
      <x:c r="F56" s="15" t="n">
        <x:v>0.15</x:v>
      </x:c>
      <x:c r="G56" s="15" t="n">
        <x:v>22551.2</x:v>
      </x:c>
      <x:c r="H56" s="15" t="n">
        <x:v>19168.52</x:v>
      </x:c>
      <x:c r="I56" s="15" t="n">
        <x:v>16844</x:v>
      </x:c>
      <x:c r="J56" s="15" t="n">
        <x:v>2324.52</x:v>
      </x:c>
      <x:c r="K56" t="str">
        <x:f>XLOOKUP(B56,Orders!A:A,Orders!E:E,"")</x:f>
        <x:v>West</x:v>
      </x:c>
      <x:c r="L56" t="n">
        <x:f>XLOOKUP(B56,Orders!A:A,Orders!B:B,"")</x:f>
        <x:v>46080</x:v>
      </x:c>
      <x:c r="M56" t="str">
        <x:f>XLOOKUP(C56,Products!A:A,Products!C:C,"")</x:f>
        <x:v>Electronics</x:v>
      </x:c>
    </x:row>
    <x:row r="57">
      <x:c r="A57" s="15" t="str">
        <x:v>ITEM00025_1</x:v>
      </x:c>
      <x:c r="B57" s="15" t="str">
        <x:v>ORD00025</x:v>
      </x:c>
      <x:c r="C57" s="15" t="str">
        <x:v>PROD006</x:v>
      </x:c>
      <x:c r="D57" s="15" t="n">
        <x:v>1</x:v>
      </x:c>
      <x:c r="E57" s="15" t="n">
        <x:v>4261.26</x:v>
      </x:c>
      <x:c r="F57" s="15" t="n">
        <x:v>0</x:v>
      </x:c>
      <x:c r="G57" s="15" t="n">
        <x:v>4261.26</x:v>
      </x:c>
      <x:c r="H57" s="15" t="n">
        <x:v>4261.26</x:v>
      </x:c>
      <x:c r="I57" s="15" t="n">
        <x:v>3067</x:v>
      </x:c>
      <x:c r="J57" s="15" t="n">
        <x:v>1194.26</x:v>
      </x:c>
      <x:c r="K57" t="str">
        <x:f>XLOOKUP(B57,Orders!A:A,Orders!E:E,"")</x:f>
        <x:v>West</x:v>
      </x:c>
      <x:c r="L57" t="n">
        <x:f>XLOOKUP(B57,Orders!A:A,Orders!B:B,"")</x:f>
        <x:v>46134</x:v>
      </x:c>
      <x:c r="M57" t="str">
        <x:f>XLOOKUP(C57,Products!A:A,Products!C:C,"")</x:f>
        <x:v>Office Supplies</x:v>
      </x:c>
    </x:row>
    <x:row r="58">
      <x:c r="A58" s="15" t="str">
        <x:v>ITEM00025_2</x:v>
      </x:c>
      <x:c r="B58" s="15" t="str">
        <x:v>ORD00025</x:v>
      </x:c>
      <x:c r="C58" s="15" t="str">
        <x:v>PROD009</x:v>
      </x:c>
      <x:c r="D58" s="15" t="n">
        <x:v>5</x:v>
      </x:c>
      <x:c r="E58" s="15" t="n">
        <x:v>4722.96</x:v>
      </x:c>
      <x:c r="F58" s="15" t="n">
        <x:v>0.15</x:v>
      </x:c>
      <x:c r="G58" s="15" t="n">
        <x:v>23614.8</x:v>
      </x:c>
      <x:c r="H58" s="15" t="n">
        <x:v>20072.58</x:v>
      </x:c>
      <x:c r="I58" s="15" t="n">
        <x:v>16065</x:v>
      </x:c>
      <x:c r="J58" s="15" t="n">
        <x:v>4007.58</x:v>
      </x:c>
      <x:c r="K58" t="str">
        <x:f>XLOOKUP(B58,Orders!A:A,Orders!E:E,"")</x:f>
        <x:v>West</x:v>
      </x:c>
      <x:c r="L58" t="n">
        <x:f>XLOOKUP(B58,Orders!A:A,Orders!B:B,"")</x:f>
        <x:v>46134</x:v>
      </x:c>
      <x:c r="M58" t="str">
        <x:f>XLOOKUP(C58,Products!A:A,Products!C:C,"")</x:f>
        <x:v>Accessories</x:v>
      </x:c>
    </x:row>
    <x:row r="59">
      <x:c r="A59" s="15" t="str">
        <x:v>ITEM00026_1</x:v>
      </x:c>
      <x:c r="B59" s="15" t="str">
        <x:v>ORD00026</x:v>
      </x:c>
      <x:c r="C59" s="15" t="str">
        <x:v>PROD027</x:v>
      </x:c>
      <x:c r="D59" s="15" t="n">
        <x:v>4</x:v>
      </x:c>
      <x:c r="E59" s="15" t="n">
        <x:v>6979.71</x:v>
      </x:c>
      <x:c r="F59" s="15" t="n">
        <x:v>0</x:v>
      </x:c>
      <x:c r="G59" s="15" t="n">
        <x:v>27918.84</x:v>
      </x:c>
      <x:c r="H59" s="15" t="n">
        <x:v>27918.84</x:v>
      </x:c>
      <x:c r="I59" s="15" t="n">
        <x:v>22548</x:v>
      </x:c>
      <x:c r="J59" s="15" t="n">
        <x:v>5370.84</x:v>
      </x:c>
      <x:c r="K59" t="str">
        <x:f>XLOOKUP(B59,Orders!A:A,Orders!E:E,"")</x:f>
        <x:v>East</x:v>
      </x:c>
      <x:c r="L59" t="n">
        <x:f>XLOOKUP(B59,Orders!A:A,Orders!B:B,"")</x:f>
        <x:v>46169</x:v>
      </x:c>
      <x:c r="M59" t="str">
        <x:f>XLOOKUP(C59,Products!A:A,Products!C:C,"")</x:f>
        <x:v>Electronics</x:v>
      </x:c>
    </x:row>
    <x:row r="60">
      <x:c r="A60" s="15" t="str">
        <x:v>ITEM00026_2</x:v>
      </x:c>
      <x:c r="B60" s="15" t="str">
        <x:v>ORD00026</x:v>
      </x:c>
      <x:c r="C60" s="15" t="str">
        <x:v>PROD026</x:v>
      </x:c>
      <x:c r="D60" s="15" t="n">
        <x:v>7</x:v>
      </x:c>
      <x:c r="E60" s="15" t="n">
        <x:v>3848.69</x:v>
      </x:c>
      <x:c r="F60" s="15" t="n">
        <x:v>0.1</x:v>
      </x:c>
      <x:c r="G60" s="15" t="n">
        <x:v>26940.83</x:v>
      </x:c>
      <x:c r="H60" s="15" t="n">
        <x:v>24246.75</x:v>
      </x:c>
      <x:c r="I60" s="15" t="n">
        <x:v>18438</x:v>
      </x:c>
      <x:c r="J60" s="15" t="n">
        <x:v>5808.75</x:v>
      </x:c>
      <x:c r="K60" t="str">
        <x:f>XLOOKUP(B60,Orders!A:A,Orders!E:E,"")</x:f>
        <x:v>East</x:v>
      </x:c>
      <x:c r="L60" t="n">
        <x:f>XLOOKUP(B60,Orders!A:A,Orders!B:B,"")</x:f>
        <x:v>46169</x:v>
      </x:c>
      <x:c r="M60" t="str">
        <x:f>XLOOKUP(C60,Products!A:A,Products!C:C,"")</x:f>
        <x:v>Accessories</x:v>
      </x:c>
    </x:row>
    <x:row r="61">
      <x:c r="A61" s="15" t="str">
        <x:v>ITEM00026_3</x:v>
      </x:c>
      <x:c r="B61" s="15" t="str">
        <x:v>ORD00026</x:v>
      </x:c>
      <x:c r="C61" s="15" t="str">
        <x:v>PROD034</x:v>
      </x:c>
      <x:c r="D61" s="15" t="n">
        <x:v>5</x:v>
      </x:c>
      <x:c r="E61" s="15" t="n">
        <x:v>5451.76</x:v>
      </x:c>
      <x:c r="F61" s="15" t="n">
        <x:v>0</x:v>
      </x:c>
      <x:c r="G61" s="15" t="n">
        <x:v>27258.8</x:v>
      </x:c>
      <x:c r="H61" s="15" t="n">
        <x:v>27258.8</x:v>
      </x:c>
      <x:c r="I61" s="15" t="n">
        <x:v>18880</x:v>
      </x:c>
      <x:c r="J61" s="15" t="n">
        <x:v>8378.8</x:v>
      </x:c>
      <x:c r="K61" t="str">
        <x:f>XLOOKUP(B61,Orders!A:A,Orders!E:E,"")</x:f>
        <x:v>East</x:v>
      </x:c>
      <x:c r="L61" t="n">
        <x:f>XLOOKUP(B61,Orders!A:A,Orders!B:B,"")</x:f>
        <x:v>46169</x:v>
      </x:c>
      <x:c r="M61" t="str">
        <x:f>XLOOKUP(C61,Products!A:A,Products!C:C,"")</x:f>
        <x:v>Accessories</x:v>
      </x:c>
    </x:row>
    <x:row r="62">
      <x:c r="A62" s="15" t="str">
        <x:v>ITEM00027_1</x:v>
      </x:c>
      <x:c r="B62" s="15" t="str">
        <x:v>ORD00027</x:v>
      </x:c>
      <x:c r="C62" s="15" t="str">
        <x:v>PROD034</x:v>
      </x:c>
      <x:c r="D62" s="15" t="n">
        <x:v>3</x:v>
      </x:c>
      <x:c r="E62" s="15" t="n">
        <x:v>5451.76</x:v>
      </x:c>
      <x:c r="F62" s="15" t="n">
        <x:v>0.05</x:v>
      </x:c>
      <x:c r="G62" s="15" t="n">
        <x:v>16355.28</x:v>
      </x:c>
      <x:c r="H62" s="15" t="n">
        <x:v>15537.52</x:v>
      </x:c>
      <x:c r="I62" s="15" t="n">
        <x:v>11328</x:v>
      </x:c>
      <x:c r="J62" s="15" t="n">
        <x:v>4209.52</x:v>
      </x:c>
      <x:c r="K62" t="str">
        <x:f>XLOOKUP(B62,Orders!A:A,Orders!E:E,"")</x:f>
        <x:v>South</x:v>
      </x:c>
      <x:c r="L62" t="n">
        <x:f>XLOOKUP(B62,Orders!A:A,Orders!B:B,"")</x:f>
        <x:v>45783</x:v>
      </x:c>
      <x:c r="M62" t="str">
        <x:f>XLOOKUP(C62,Products!A:A,Products!C:C,"")</x:f>
        <x:v>Accessories</x:v>
      </x:c>
    </x:row>
    <x:row r="63">
      <x:c r="A63" s="15" t="str">
        <x:v>ITEM00027_2</x:v>
      </x:c>
      <x:c r="B63" s="15" t="str">
        <x:v>ORD00027</x:v>
      </x:c>
      <x:c r="C63" s="15" t="str">
        <x:v>PROD014</x:v>
      </x:c>
      <x:c r="D63" s="15" t="n">
        <x:v>6</x:v>
      </x:c>
      <x:c r="E63" s="15" t="n">
        <x:v>1611.65</x:v>
      </x:c>
      <x:c r="F63" s="15" t="n">
        <x:v>0</x:v>
      </x:c>
      <x:c r="G63" s="15" t="n">
        <x:v>9669.9</x:v>
      </x:c>
      <x:c r="H63" s="15" t="n">
        <x:v>9669.9</x:v>
      </x:c>
      <x:c r="I63" s="15" t="n">
        <x:v>7398</x:v>
      </x:c>
      <x:c r="J63" s="15" t="n">
        <x:v>2271.9</x:v>
      </x:c>
      <x:c r="K63" t="str">
        <x:f>XLOOKUP(B63,Orders!A:A,Orders!E:E,"")</x:f>
        <x:v>South</x:v>
      </x:c>
      <x:c r="L63" t="n">
        <x:f>XLOOKUP(B63,Orders!A:A,Orders!B:B,"")</x:f>
        <x:v>45783</x:v>
      </x:c>
      <x:c r="M63" t="str">
        <x:f>XLOOKUP(C63,Products!A:A,Products!C:C,"")</x:f>
        <x:v>Office Supplies</x:v>
      </x:c>
    </x:row>
    <x:row r="64">
      <x:c r="A64" s="15" t="str">
        <x:v>ITEM00027_3</x:v>
      </x:c>
      <x:c r="B64" s="15" t="str">
        <x:v>ORD00027</x:v>
      </x:c>
      <x:c r="C64" s="15" t="str">
        <x:v>PROD009</x:v>
      </x:c>
      <x:c r="D64" s="15" t="n">
        <x:v>6</x:v>
      </x:c>
      <x:c r="E64" s="15" t="n">
        <x:v>4722.96</x:v>
      </x:c>
      <x:c r="F64" s="15" t="n">
        <x:v>0.05</x:v>
      </x:c>
      <x:c r="G64" s="15" t="n">
        <x:v>28337.76</x:v>
      </x:c>
      <x:c r="H64" s="15" t="n">
        <x:v>26920.87</x:v>
      </x:c>
      <x:c r="I64" s="15" t="n">
        <x:v>19278</x:v>
      </x:c>
      <x:c r="J64" s="15" t="n">
        <x:v>7642.87</x:v>
      </x:c>
      <x:c r="K64" t="str">
        <x:f>XLOOKUP(B64,Orders!A:A,Orders!E:E,"")</x:f>
        <x:v>South</x:v>
      </x:c>
      <x:c r="L64" t="n">
        <x:f>XLOOKUP(B64,Orders!A:A,Orders!B:B,"")</x:f>
        <x:v>45783</x:v>
      </x:c>
      <x:c r="M64" t="str">
        <x:f>XLOOKUP(C64,Products!A:A,Products!C:C,"")</x:f>
        <x:v>Accessories</x:v>
      </x:c>
    </x:row>
    <x:row r="65">
      <x:c r="A65" s="15" t="str">
        <x:v>ITEM00027_4</x:v>
      </x:c>
      <x:c r="B65" s="15" t="str">
        <x:v>ORD00027</x:v>
      </x:c>
      <x:c r="C65" s="15" t="str">
        <x:v>PROD011</x:v>
      </x:c>
      <x:c r="D65" s="15" t="n">
        <x:v>2</x:v>
      </x:c>
      <x:c r="E65" s="15" t="n">
        <x:v>7135.27</x:v>
      </x:c>
      <x:c r="F65" s="15" t="n">
        <x:v>0</x:v>
      </x:c>
      <x:c r="G65" s="15" t="n">
        <x:v>14270.54</x:v>
      </x:c>
      <x:c r="H65" s="15" t="n">
        <x:v>14270.54</x:v>
      </x:c>
      <x:c r="I65" s="15" t="n">
        <x:v>10406</x:v>
      </x:c>
      <x:c r="J65" s="15" t="n">
        <x:v>3864.54</x:v>
      </x:c>
      <x:c r="K65" t="str">
        <x:f>XLOOKUP(B65,Orders!A:A,Orders!E:E,"")</x:f>
        <x:v>South</x:v>
      </x:c>
      <x:c r="L65" t="n">
        <x:f>XLOOKUP(B65,Orders!A:A,Orders!B:B,"")</x:f>
        <x:v>45783</x:v>
      </x:c>
      <x:c r="M65" t="str">
        <x:f>XLOOKUP(C65,Products!A:A,Products!C:C,"")</x:f>
        <x:v>Accessories</x:v>
      </x:c>
    </x:row>
    <x:row r="66">
      <x:c r="A66" s="15" t="str">
        <x:v>ITEM00028_1</x:v>
      </x:c>
      <x:c r="B66" s="15" t="str">
        <x:v>ORD00028</x:v>
      </x:c>
      <x:c r="C66" s="15" t="str">
        <x:v>PROD011</x:v>
      </x:c>
      <x:c r="D66" s="15" t="n">
        <x:v>6</x:v>
      </x:c>
      <x:c r="E66" s="15" t="n">
        <x:v>7135.27</x:v>
      </x:c>
      <x:c r="F66" s="15" t="n">
        <x:v>0</x:v>
      </x:c>
      <x:c r="G66" s="15" t="n">
        <x:v>42811.62</x:v>
      </x:c>
      <x:c r="H66" s="15" t="n">
        <x:v>42811.62</x:v>
      </x:c>
      <x:c r="I66" s="15" t="n">
        <x:v>31218</x:v>
      </x:c>
      <x:c r="J66" s="15" t="n">
        <x:v>11593.62</x:v>
      </x:c>
      <x:c r="K66" t="str">
        <x:f>XLOOKUP(B66,Orders!A:A,Orders!E:E,"")</x:f>
        <x:v>West</x:v>
      </x:c>
      <x:c r="L66" t="n">
        <x:f>XLOOKUP(B66,Orders!A:A,Orders!B:B,"")</x:f>
        <x:v>45848</x:v>
      </x:c>
      <x:c r="M66" t="str">
        <x:f>XLOOKUP(C66,Products!A:A,Products!C:C,"")</x:f>
        <x:v>Accessories</x:v>
      </x:c>
    </x:row>
    <x:row r="67">
      <x:c r="A67" s="15" t="str">
        <x:v>ITEM00028_2</x:v>
      </x:c>
      <x:c r="B67" s="15" t="str">
        <x:v>ORD00028</x:v>
      </x:c>
      <x:c r="C67" s="15" t="str">
        <x:v>PROD023</x:v>
      </x:c>
      <x:c r="D67" s="15" t="n">
        <x:v>6</x:v>
      </x:c>
      <x:c r="E67" s="15" t="n">
        <x:v>5153.56</x:v>
      </x:c>
      <x:c r="F67" s="15" t="n">
        <x:v>0</x:v>
      </x:c>
      <x:c r="G67" s="15" t="n">
        <x:v>30921.36</x:v>
      </x:c>
      <x:c r="H67" s="15" t="n">
        <x:v>30921.36</x:v>
      </x:c>
      <x:c r="I67" s="15" t="n">
        <x:v>23748</x:v>
      </x:c>
      <x:c r="J67" s="15" t="n">
        <x:v>7173.36</x:v>
      </x:c>
      <x:c r="K67" t="str">
        <x:f>XLOOKUP(B67,Orders!A:A,Orders!E:E,"")</x:f>
        <x:v>West</x:v>
      </x:c>
      <x:c r="L67" t="n">
        <x:f>XLOOKUP(B67,Orders!A:A,Orders!B:B,"")</x:f>
        <x:v>45848</x:v>
      </x:c>
      <x:c r="M67" t="str">
        <x:f>XLOOKUP(C67,Products!A:A,Products!C:C,"")</x:f>
        <x:v>Electronics</x:v>
      </x:c>
    </x:row>
    <x:row r="68">
      <x:c r="A68" s="15" t="str">
        <x:v>ITEM00028_3</x:v>
      </x:c>
      <x:c r="B68" s="15" t="str">
        <x:v>ORD00028</x:v>
      </x:c>
      <x:c r="C68" s="15" t="str">
        <x:v>PROD036</x:v>
      </x:c>
      <x:c r="D68" s="15" t="n">
        <x:v>6</x:v>
      </x:c>
      <x:c r="E68" s="15" t="n">
        <x:v>7158.64</x:v>
      </x:c>
      <x:c r="F68" s="15" t="n">
        <x:v>0</x:v>
      </x:c>
      <x:c r="G68" s="15" t="n">
        <x:v>42951.84</x:v>
      </x:c>
      <x:c r="H68" s="15" t="n">
        <x:v>42951.84</x:v>
      </x:c>
      <x:c r="I68" s="15" t="n">
        <x:v>31026</x:v>
      </x:c>
      <x:c r="J68" s="15" t="n">
        <x:v>11925.84</x:v>
      </x:c>
      <x:c r="K68" t="str">
        <x:f>XLOOKUP(B68,Orders!A:A,Orders!E:E,"")</x:f>
        <x:v>West</x:v>
      </x:c>
      <x:c r="L68" t="n">
        <x:f>XLOOKUP(B68,Orders!A:A,Orders!B:B,"")</x:f>
        <x:v>45848</x:v>
      </x:c>
      <x:c r="M68" t="str">
        <x:f>XLOOKUP(C68,Products!A:A,Products!C:C,"")</x:f>
        <x:v>Accessories</x:v>
      </x:c>
    </x:row>
    <x:row r="69">
      <x:c r="A69" s="15" t="str">
        <x:v>ITEM00028_4</x:v>
      </x:c>
      <x:c r="B69" s="15" t="str">
        <x:v>ORD00028</x:v>
      </x:c>
      <x:c r="C69" s="15" t="str">
        <x:v>PROD014</x:v>
      </x:c>
      <x:c r="D69" s="15" t="n">
        <x:v>8</x:v>
      </x:c>
      <x:c r="E69" s="15" t="n">
        <x:v>1611.65</x:v>
      </x:c>
      <x:c r="F69" s="15" t="n">
        <x:v>0.1</x:v>
      </x:c>
      <x:c r="G69" s="15" t="n">
        <x:v>12893.2</x:v>
      </x:c>
      <x:c r="H69" s="15" t="n">
        <x:v>11603.88</x:v>
      </x:c>
      <x:c r="I69" s="15" t="n">
        <x:v>9864</x:v>
      </x:c>
      <x:c r="J69" s="15" t="n">
        <x:v>1739.88</x:v>
      </x:c>
      <x:c r="K69" t="str">
        <x:f>XLOOKUP(B69,Orders!A:A,Orders!E:E,"")</x:f>
        <x:v>West</x:v>
      </x:c>
      <x:c r="L69" t="n">
        <x:f>XLOOKUP(B69,Orders!A:A,Orders!B:B,"")</x:f>
        <x:v>45848</x:v>
      </x:c>
      <x:c r="M69" t="str">
        <x:f>XLOOKUP(C69,Products!A:A,Products!C:C,"")</x:f>
        <x:v>Office Supplies</x:v>
      </x:c>
    </x:row>
    <x:row r="70">
      <x:c r="A70" s="15" t="str">
        <x:v>ITEM00029_1</x:v>
      </x:c>
      <x:c r="B70" s="15" t="str">
        <x:v>ORD00029</x:v>
      </x:c>
      <x:c r="C70" s="15" t="str">
        <x:v>PROD001</x:v>
      </x:c>
      <x:c r="D70" s="15" t="n">
        <x:v>6</x:v>
      </x:c>
      <x:c r="E70" s="15" t="n">
        <x:v>8672.7</x:v>
      </x:c>
      <x:c r="F70" s="15" t="n">
        <x:v>0.05</x:v>
      </x:c>
      <x:c r="G70" s="15" t="n">
        <x:v>52036.2</x:v>
      </x:c>
      <x:c r="H70" s="15" t="n">
        <x:v>49434.39</x:v>
      </x:c>
      <x:c r="I70" s="15" t="n">
        <x:v>36978</x:v>
      </x:c>
      <x:c r="J70" s="15" t="n">
        <x:v>12456.39</x:v>
      </x:c>
      <x:c r="K70" t="str">
        <x:f>XLOOKUP(B70,Orders!A:A,Orders!E:E,"")</x:f>
        <x:v>North</x:v>
      </x:c>
      <x:c r="L70" t="n">
        <x:f>XLOOKUP(B70,Orders!A:A,Orders!B:B,"")</x:f>
        <x:v>46165</x:v>
      </x:c>
      <x:c r="M70" t="str">
        <x:f>XLOOKUP(C70,Products!A:A,Products!C:C,"")</x:f>
        <x:v>Office Supplies</x:v>
      </x:c>
    </x:row>
    <x:row r="71">
      <x:c r="A71" s="15" t="str">
        <x:v>ITEM00029_2</x:v>
      </x:c>
      <x:c r="B71" s="15" t="str">
        <x:v>ORD00029</x:v>
      </x:c>
      <x:c r="C71" s="15" t="str">
        <x:v>PROD010</x:v>
      </x:c>
      <x:c r="D71" s="15" t="n">
        <x:v>2</x:v>
      </x:c>
      <x:c r="E71" s="15" t="n">
        <x:v>8670.63</x:v>
      </x:c>
      <x:c r="F71" s="15" t="n">
        <x:v>0.15</x:v>
      </x:c>
      <x:c r="G71" s="15" t="n">
        <x:v>17341.26</x:v>
      </x:c>
      <x:c r="H71" s="15" t="n">
        <x:v>14740.07</x:v>
      </x:c>
      <x:c r="I71" s="15" t="n">
        <x:v>11706</x:v>
      </x:c>
      <x:c r="J71" s="15" t="n">
        <x:v>3034.07</x:v>
      </x:c>
      <x:c r="K71" t="str">
        <x:f>XLOOKUP(B71,Orders!A:A,Orders!E:E,"")</x:f>
        <x:v>North</x:v>
      </x:c>
      <x:c r="L71" t="n">
        <x:f>XLOOKUP(B71,Orders!A:A,Orders!B:B,"")</x:f>
        <x:v>46165</x:v>
      </x:c>
      <x:c r="M71" t="str">
        <x:f>XLOOKUP(C71,Products!A:A,Products!C:C,"")</x:f>
        <x:v>Accessories</x:v>
      </x:c>
    </x:row>
    <x:row r="72">
      <x:c r="A72" s="15" t="str">
        <x:v>ITEM00029_3</x:v>
      </x:c>
      <x:c r="B72" s="15" t="str">
        <x:v>ORD00029</x:v>
      </x:c>
      <x:c r="C72" s="15" t="str">
        <x:v>PROD036</x:v>
      </x:c>
      <x:c r="D72" s="15" t="n">
        <x:v>2</x:v>
      </x:c>
      <x:c r="E72" s="15" t="n">
        <x:v>7158.64</x:v>
      </x:c>
      <x:c r="F72" s="15" t="n">
        <x:v>0.1</x:v>
      </x:c>
      <x:c r="G72" s="15" t="n">
        <x:v>14317.28</x:v>
      </x:c>
      <x:c r="H72" s="15" t="n">
        <x:v>12885.55</x:v>
      </x:c>
      <x:c r="I72" s="15" t="n">
        <x:v>10342</x:v>
      </x:c>
      <x:c r="J72" s="15" t="n">
        <x:v>2543.55</x:v>
      </x:c>
      <x:c r="K72" t="str">
        <x:f>XLOOKUP(B72,Orders!A:A,Orders!E:E,"")</x:f>
        <x:v>North</x:v>
      </x:c>
      <x:c r="L72" t="n">
        <x:f>XLOOKUP(B72,Orders!A:A,Orders!B:B,"")</x:f>
        <x:v>46165</x:v>
      </x:c>
      <x:c r="M72" t="str">
        <x:f>XLOOKUP(C72,Products!A:A,Products!C:C,"")</x:f>
        <x:v>Accessories</x:v>
      </x:c>
    </x:row>
    <x:row r="73">
      <x:c r="A73" s="15" t="str">
        <x:v>ITEM00029_4</x:v>
      </x:c>
      <x:c r="B73" s="15" t="str">
        <x:v>ORD00029</x:v>
      </x:c>
      <x:c r="C73" s="15" t="str">
        <x:v>PROD007</x:v>
      </x:c>
      <x:c r="D73" s="15" t="n">
        <x:v>4</x:v>
      </x:c>
      <x:c r="E73" s="15" t="n">
        <x:v>5013.07</x:v>
      </x:c>
      <x:c r="F73" s="15" t="n">
        <x:v>0</x:v>
      </x:c>
      <x:c r="G73" s="15" t="n">
        <x:v>20052.28</x:v>
      </x:c>
      <x:c r="H73" s="15" t="n">
        <x:v>20052.28</x:v>
      </x:c>
      <x:c r="I73" s="15" t="n">
        <x:v>15764</x:v>
      </x:c>
      <x:c r="J73" s="15" t="n">
        <x:v>4288.28</x:v>
      </x:c>
      <x:c r="K73" t="str">
        <x:f>XLOOKUP(B73,Orders!A:A,Orders!E:E,"")</x:f>
        <x:v>North</x:v>
      </x:c>
      <x:c r="L73" t="n">
        <x:f>XLOOKUP(B73,Orders!A:A,Orders!B:B,"")</x:f>
        <x:v>46165</x:v>
      </x:c>
      <x:c r="M73" t="str">
        <x:f>XLOOKUP(C73,Products!A:A,Products!C:C,"")</x:f>
        <x:v>Electronics</x:v>
      </x:c>
    </x:row>
    <x:row r="74">
      <x:c r="A74" s="15" t="str">
        <x:v>ITEM00030_1</x:v>
      </x:c>
      <x:c r="B74" s="15" t="str">
        <x:v>ORD00030</x:v>
      </x:c>
      <x:c r="C74" s="15" t="str">
        <x:v>PROD032</x:v>
      </x:c>
      <x:c r="D74" s="15" t="n">
        <x:v>3</x:v>
      </x:c>
      <x:c r="E74" s="15" t="n">
        <x:v>6307.06</x:v>
      </x:c>
      <x:c r="F74" s="15" t="n">
        <x:v>0.05</x:v>
      </x:c>
      <x:c r="G74" s="15" t="n">
        <x:v>18921.18</x:v>
      </x:c>
      <x:c r="H74" s="15" t="n">
        <x:v>17975.12</x:v>
      </x:c>
      <x:c r="I74" s="15" t="n">
        <x:v>15231</x:v>
      </x:c>
      <x:c r="J74" s="15" t="n">
        <x:v>2744.12</x:v>
      </x:c>
      <x:c r="K74" t="str">
        <x:f>XLOOKUP(B74,Orders!A:A,Orders!E:E,"")</x:f>
        <x:v>West</x:v>
      </x:c>
      <x:c r="L74" t="n">
        <x:f>XLOOKUP(B74,Orders!A:A,Orders!B:B,"")</x:f>
        <x:v>45988</x:v>
      </x:c>
      <x:c r="M74" t="str">
        <x:f>XLOOKUP(C74,Products!A:A,Products!C:C,"")</x:f>
        <x:v>Electronics</x:v>
      </x:c>
    </x:row>
    <x:row r="75">
      <x:c r="A75" s="15" t="str">
        <x:v>ITEM00031_1</x:v>
      </x:c>
      <x:c r="B75" s="15" t="str">
        <x:v>ORD00031</x:v>
      </x:c>
      <x:c r="C75" s="15" t="str">
        <x:v>PROD031</x:v>
      </x:c>
      <x:c r="D75" s="15" t="n">
        <x:v>7</x:v>
      </x:c>
      <x:c r="E75" s="15" t="n">
        <x:v>3371.81</x:v>
      </x:c>
      <x:c r="F75" s="15" t="n">
        <x:v>0.15</x:v>
      </x:c>
      <x:c r="G75" s="15" t="n">
        <x:v>23602.67</x:v>
      </x:c>
      <x:c r="H75" s="15" t="n">
        <x:v>20062.27</x:v>
      </x:c>
      <x:c r="I75" s="15" t="n">
        <x:v>19579</x:v>
      </x:c>
      <x:c r="J75" s="15" t="n">
        <x:v>483.27</x:v>
      </x:c>
      <x:c r="K75" t="str">
        <x:f>XLOOKUP(B75,Orders!A:A,Orders!E:E,"")</x:f>
        <x:v>West</x:v>
      </x:c>
      <x:c r="L75" t="n">
        <x:f>XLOOKUP(B75,Orders!A:A,Orders!B:B,"")</x:f>
        <x:v>45836</x:v>
      </x:c>
      <x:c r="M75" t="str">
        <x:f>XLOOKUP(C75,Products!A:A,Products!C:C,"")</x:f>
        <x:v>Furniture</x:v>
      </x:c>
    </x:row>
    <x:row r="76">
      <x:c r="A76" s="15" t="str">
        <x:v>ITEM00031_2</x:v>
      </x:c>
      <x:c r="B76" s="15" t="str">
        <x:v>ORD00031</x:v>
      </x:c>
      <x:c r="C76" s="15" t="str">
        <x:v>PROD021</x:v>
      </x:c>
      <x:c r="D76" s="15" t="n">
        <x:v>6</x:v>
      </x:c>
      <x:c r="E76" s="15" t="n">
        <x:v>6748.85</x:v>
      </x:c>
      <x:c r="F76" s="15" t="n">
        <x:v>0</x:v>
      </x:c>
      <x:c r="G76" s="15" t="n">
        <x:v>40493.1</x:v>
      </x:c>
      <x:c r="H76" s="15" t="n">
        <x:v>40493.1</x:v>
      </x:c>
      <x:c r="I76" s="15" t="n">
        <x:v>29994</x:v>
      </x:c>
      <x:c r="J76" s="15" t="n">
        <x:v>10499.1</x:v>
      </x:c>
      <x:c r="K76" t="str">
        <x:f>XLOOKUP(B76,Orders!A:A,Orders!E:E,"")</x:f>
        <x:v>West</x:v>
      </x:c>
      <x:c r="L76" t="n">
        <x:f>XLOOKUP(B76,Orders!A:A,Orders!B:B,"")</x:f>
        <x:v>45836</x:v>
      </x:c>
      <x:c r="M76" t="str">
        <x:f>XLOOKUP(C76,Products!A:A,Products!C:C,"")</x:f>
        <x:v>Electronics</x:v>
      </x:c>
    </x:row>
    <x:row r="77">
      <x:c r="A77" s="15" t="str">
        <x:v>ITEM00031_3</x:v>
      </x:c>
      <x:c r="B77" s="15" t="str">
        <x:v>ORD00031</x:v>
      </x:c>
      <x:c r="C77" s="15" t="str">
        <x:v>PROD036</x:v>
      </x:c>
      <x:c r="D77" s="15" t="n">
        <x:v>8</x:v>
      </x:c>
      <x:c r="E77" s="15" t="n">
        <x:v>7158.64</x:v>
      </x:c>
      <x:c r="F77" s="15" t="n">
        <x:v>0</x:v>
      </x:c>
      <x:c r="G77" s="15" t="n">
        <x:v>57269.12</x:v>
      </x:c>
      <x:c r="H77" s="15" t="n">
        <x:v>57269.12</x:v>
      </x:c>
      <x:c r="I77" s="15" t="n">
        <x:v>41368</x:v>
      </x:c>
      <x:c r="J77" s="15" t="n">
        <x:v>15901.12</x:v>
      </x:c>
      <x:c r="K77" t="str">
        <x:f>XLOOKUP(B77,Orders!A:A,Orders!E:E,"")</x:f>
        <x:v>West</x:v>
      </x:c>
      <x:c r="L77" t="n">
        <x:f>XLOOKUP(B77,Orders!A:A,Orders!B:B,"")</x:f>
        <x:v>45836</x:v>
      </x:c>
      <x:c r="M77" t="str">
        <x:f>XLOOKUP(C77,Products!A:A,Products!C:C,"")</x:f>
        <x:v>Accessories</x:v>
      </x:c>
    </x:row>
    <x:row r="78">
      <x:c r="A78" s="15" t="str">
        <x:v>ITEM00032_1</x:v>
      </x:c>
      <x:c r="B78" s="15" t="str">
        <x:v>ORD00032</x:v>
      </x:c>
      <x:c r="C78" s="15" t="str">
        <x:v>PROD026</x:v>
      </x:c>
      <x:c r="D78" s="15" t="n">
        <x:v>6</x:v>
      </x:c>
      <x:c r="E78" s="15" t="n">
        <x:v>3848.69</x:v>
      </x:c>
      <x:c r="F78" s="15" t="n">
        <x:v>0.15</x:v>
      </x:c>
      <x:c r="G78" s="15" t="n">
        <x:v>23092.14</x:v>
      </x:c>
      <x:c r="H78" s="15" t="n">
        <x:v>19628.32</x:v>
      </x:c>
      <x:c r="I78" s="15" t="n">
        <x:v>15804</x:v>
      </x:c>
      <x:c r="J78" s="15" t="n">
        <x:v>3824.32</x:v>
      </x:c>
      <x:c r="K78" t="str">
        <x:f>XLOOKUP(B78,Orders!A:A,Orders!E:E,"")</x:f>
        <x:v>North</x:v>
      </x:c>
      <x:c r="L78" t="n">
        <x:f>XLOOKUP(B78,Orders!A:A,Orders!B:B,"")</x:f>
        <x:v>45737</x:v>
      </x:c>
      <x:c r="M78" t="str">
        <x:f>XLOOKUP(C78,Products!A:A,Products!C:C,"")</x:f>
        <x:v>Accessories</x:v>
      </x:c>
    </x:row>
    <x:row r="79">
      <x:c r="A79" s="15" t="str">
        <x:v>ITEM00032_2</x:v>
      </x:c>
      <x:c r="B79" s="15" t="str">
        <x:v>ORD00032</x:v>
      </x:c>
      <x:c r="C79" s="15" t="str">
        <x:v>PROD012</x:v>
      </x:c>
      <x:c r="D79" s="15" t="n">
        <x:v>1</x:v>
      </x:c>
      <x:c r="E79" s="15" t="n">
        <x:v>7989.38</x:v>
      </x:c>
      <x:c r="F79" s="15" t="n">
        <x:v>0</x:v>
      </x:c>
      <x:c r="G79" s="15" t="n">
        <x:v>7989.38</x:v>
      </x:c>
      <x:c r="H79" s="15" t="n">
        <x:v>7989.38</x:v>
      </x:c>
      <x:c r="I79" s="15" t="n">
        <x:v>6485</x:v>
      </x:c>
      <x:c r="J79" s="15" t="n">
        <x:v>1504.38</x:v>
      </x:c>
      <x:c r="K79" t="str">
        <x:f>XLOOKUP(B79,Orders!A:A,Orders!E:E,"")</x:f>
        <x:v>North</x:v>
      </x:c>
      <x:c r="L79" t="n">
        <x:f>XLOOKUP(B79,Orders!A:A,Orders!B:B,"")</x:f>
        <x:v>45737</x:v>
      </x:c>
      <x:c r="M79" t="str">
        <x:f>XLOOKUP(C79,Products!A:A,Products!C:C,"")</x:f>
        <x:v>Electronics</x:v>
      </x:c>
    </x:row>
    <x:row r="80">
      <x:c r="A80" s="15" t="str">
        <x:v>ITEM00033_1</x:v>
      </x:c>
      <x:c r="B80" s="15" t="str">
        <x:v>ORD00033</x:v>
      </x:c>
      <x:c r="C80" s="15" t="str">
        <x:v>PROD013</x:v>
      </x:c>
      <x:c r="D80" s="15" t="n">
        <x:v>6</x:v>
      </x:c>
      <x:c r="E80" s="15" t="n">
        <x:v>7614.02</x:v>
      </x:c>
      <x:c r="F80" s="15" t="n">
        <x:v>0</x:v>
      </x:c>
      <x:c r="G80" s="15" t="n">
        <x:v>45684.12</x:v>
      </x:c>
      <x:c r="H80" s="15" t="n">
        <x:v>45684.12</x:v>
      </x:c>
      <x:c r="I80" s="15" t="n">
        <x:v>36462</x:v>
      </x:c>
      <x:c r="J80" s="15" t="n">
        <x:v>9222.12</x:v>
      </x:c>
      <x:c r="K80" t="str">
        <x:f>XLOOKUP(B80,Orders!A:A,Orders!E:E,"")</x:f>
        <x:v>West</x:v>
      </x:c>
      <x:c r="L80" t="n">
        <x:f>XLOOKUP(B80,Orders!A:A,Orders!B:B,"")</x:f>
        <x:v>45726</x:v>
      </x:c>
      <x:c r="M80" t="str">
        <x:f>XLOOKUP(C80,Products!A:A,Products!C:C,"")</x:f>
        <x:v>Furniture</x:v>
      </x:c>
    </x:row>
    <x:row r="81">
      <x:c r="A81" s="15" t="str">
        <x:v>ITEM00033_2</x:v>
      </x:c>
      <x:c r="B81" s="15" t="str">
        <x:v>ORD00033</x:v>
      </x:c>
      <x:c r="C81" s="15" t="str">
        <x:v>PROD035</x:v>
      </x:c>
      <x:c r="D81" s="15" t="n">
        <x:v>4</x:v>
      </x:c>
      <x:c r="E81" s="15" t="n">
        <x:v>3972.26</x:v>
      </x:c>
      <x:c r="F81" s="15" t="n">
        <x:v>0</x:v>
      </x:c>
      <x:c r="G81" s="15" t="n">
        <x:v>15889.04</x:v>
      </x:c>
      <x:c r="H81" s="15" t="n">
        <x:v>15889.04</x:v>
      </x:c>
      <x:c r="I81" s="15" t="n">
        <x:v>12748</x:v>
      </x:c>
      <x:c r="J81" s="15" t="n">
        <x:v>3141.04</x:v>
      </x:c>
      <x:c r="K81" t="str">
        <x:f>XLOOKUP(B81,Orders!A:A,Orders!E:E,"")</x:f>
        <x:v>West</x:v>
      </x:c>
      <x:c r="L81" t="n">
        <x:f>XLOOKUP(B81,Orders!A:A,Orders!B:B,"")</x:f>
        <x:v>45726</x:v>
      </x:c>
      <x:c r="M81" t="str">
        <x:f>XLOOKUP(C81,Products!A:A,Products!C:C,"")</x:f>
        <x:v>Electronics</x:v>
      </x:c>
    </x:row>
    <x:row r="82">
      <x:c r="A82" s="15" t="str">
        <x:v>ITEM00033_3</x:v>
      </x:c>
      <x:c r="B82" s="15" t="str">
        <x:v>ORD00033</x:v>
      </x:c>
      <x:c r="C82" s="15" t="str">
        <x:v>PROD015</x:v>
      </x:c>
      <x:c r="D82" s="15" t="n">
        <x:v>5</x:v>
      </x:c>
      <x:c r="E82" s="15" t="n">
        <x:v>5903.1</x:v>
      </x:c>
      <x:c r="F82" s="15" t="n">
        <x:v>0.05</x:v>
      </x:c>
      <x:c r="G82" s="15" t="n">
        <x:v>29515.5</x:v>
      </x:c>
      <x:c r="H82" s="15" t="n">
        <x:v>28039.72</x:v>
      </x:c>
      <x:c r="I82" s="15" t="n">
        <x:v>23925</x:v>
      </x:c>
      <x:c r="J82" s="15" t="n">
        <x:v>4114.72</x:v>
      </x:c>
      <x:c r="K82" t="str">
        <x:f>XLOOKUP(B82,Orders!A:A,Orders!E:E,"")</x:f>
        <x:v>West</x:v>
      </x:c>
      <x:c r="L82" t="n">
        <x:f>XLOOKUP(B82,Orders!A:A,Orders!B:B,"")</x:f>
        <x:v>45726</x:v>
      </x:c>
      <x:c r="M82" t="str">
        <x:f>XLOOKUP(C82,Products!A:A,Products!C:C,"")</x:f>
        <x:v>Electronics</x:v>
      </x:c>
    </x:row>
    <x:row r="83">
      <x:c r="A83" s="15" t="str">
        <x:v>ITEM00033_4</x:v>
      </x:c>
      <x:c r="B83" s="15" t="str">
        <x:v>ORD00033</x:v>
      </x:c>
      <x:c r="C83" s="15" t="str">
        <x:v>PROD016</x:v>
      </x:c>
      <x:c r="D83" s="15" t="n">
        <x:v>3</x:v>
      </x:c>
      <x:c r="E83" s="15" t="n">
        <x:v>3884.33</x:v>
      </x:c>
      <x:c r="F83" s="15" t="n">
        <x:v>0.1</x:v>
      </x:c>
      <x:c r="G83" s="15" t="n">
        <x:v>11652.99</x:v>
      </x:c>
      <x:c r="H83" s="15" t="n">
        <x:v>10487.69</x:v>
      </x:c>
      <x:c r="I83" s="15" t="n">
        <x:v>9141</x:v>
      </x:c>
      <x:c r="J83" s="15" t="n">
        <x:v>1346.69</x:v>
      </x:c>
      <x:c r="K83" t="str">
        <x:f>XLOOKUP(B83,Orders!A:A,Orders!E:E,"")</x:f>
        <x:v>West</x:v>
      </x:c>
      <x:c r="L83" t="n">
        <x:f>XLOOKUP(B83,Orders!A:A,Orders!B:B,"")</x:f>
        <x:v>45726</x:v>
      </x:c>
      <x:c r="M83" t="str">
        <x:f>XLOOKUP(C83,Products!A:A,Products!C:C,"")</x:f>
        <x:v>Electronics</x:v>
      </x:c>
    </x:row>
    <x:row r="84">
      <x:c r="A84" s="15" t="str">
        <x:v>ITEM00034_1</x:v>
      </x:c>
      <x:c r="B84" s="15" t="str">
        <x:v>ORD00034</x:v>
      </x:c>
      <x:c r="C84" s="15" t="str">
        <x:v>PROD039</x:v>
      </x:c>
      <x:c r="D84" s="15" t="n">
        <x:v>7</x:v>
      </x:c>
      <x:c r="E84" s="15" t="n">
        <x:v>5945.62</x:v>
      </x:c>
      <x:c r="F84" s="15" t="n">
        <x:v>0</x:v>
      </x:c>
      <x:c r="G84" s="15" t="n">
        <x:v>41619.34</x:v>
      </x:c>
      <x:c r="H84" s="15" t="n">
        <x:v>41619.34</x:v>
      </x:c>
      <x:c r="I84" s="15" t="n">
        <x:v>32011</x:v>
      </x:c>
      <x:c r="J84" s="15" t="n">
        <x:v>9608.34</x:v>
      </x:c>
      <x:c r="K84" t="str">
        <x:f>XLOOKUP(B84,Orders!A:A,Orders!E:E,"")</x:f>
        <x:v>East</x:v>
      </x:c>
      <x:c r="L84" t="n">
        <x:f>XLOOKUP(B84,Orders!A:A,Orders!B:B,"")</x:f>
        <x:v>45756</x:v>
      </x:c>
      <x:c r="M84" t="str">
        <x:f>XLOOKUP(C84,Products!A:A,Products!C:C,"")</x:f>
        <x:v>Office Supplies</x:v>
      </x:c>
    </x:row>
    <x:row r="85">
      <x:c r="A85" s="15" t="str">
        <x:v>ITEM00035_1</x:v>
      </x:c>
      <x:c r="B85" s="15" t="str">
        <x:v>ORD00035</x:v>
      </x:c>
      <x:c r="C85" s="15" t="str">
        <x:v>PROD028</x:v>
      </x:c>
      <x:c r="D85" s="15" t="n">
        <x:v>2</x:v>
      </x:c>
      <x:c r="E85" s="15" t="n">
        <x:v>4640.74</x:v>
      </x:c>
      <x:c r="F85" s="15" t="n">
        <x:v>0</x:v>
      </x:c>
      <x:c r="G85" s="15" t="n">
        <x:v>9281.48</x:v>
      </x:c>
      <x:c r="H85" s="15" t="n">
        <x:v>9281.48</x:v>
      </x:c>
      <x:c r="I85" s="15" t="n">
        <x:v>7068</x:v>
      </x:c>
      <x:c r="J85" s="15" t="n">
        <x:v>2213.48</x:v>
      </x:c>
      <x:c r="K85" t="str">
        <x:f>XLOOKUP(B85,Orders!A:A,Orders!E:E,"")</x:f>
        <x:v>East</x:v>
      </x:c>
      <x:c r="L85" t="n">
        <x:f>XLOOKUP(B85,Orders!A:A,Orders!B:B,"")</x:f>
        <x:v>46013</x:v>
      </x:c>
      <x:c r="M85" t="str">
        <x:f>XLOOKUP(C85,Products!A:A,Products!C:C,"")</x:f>
        <x:v>Office Supplies</x:v>
      </x:c>
    </x:row>
    <x:row r="86">
      <x:c r="A86" s="15" t="str">
        <x:v>ITEM00035_2</x:v>
      </x:c>
      <x:c r="B86" s="15" t="str">
        <x:v>ORD00035</x:v>
      </x:c>
      <x:c r="C86" s="15" t="str">
        <x:v>PROD017</x:v>
      </x:c>
      <x:c r="D86" s="15" t="n">
        <x:v>7</x:v>
      </x:c>
      <x:c r="E86" s="15" t="n">
        <x:v>7311.62</x:v>
      </x:c>
      <x:c r="F86" s="15" t="n">
        <x:v>0.1</x:v>
      </x:c>
      <x:c r="G86" s="15" t="n">
        <x:v>51181.34</x:v>
      </x:c>
      <x:c r="H86" s="15" t="n">
        <x:v>46063.21</x:v>
      </x:c>
      <x:c r="I86" s="15" t="n">
        <x:v>36806</x:v>
      </x:c>
      <x:c r="J86" s="15" t="n">
        <x:v>9257.21</x:v>
      </x:c>
      <x:c r="K86" t="str">
        <x:f>XLOOKUP(B86,Orders!A:A,Orders!E:E,"")</x:f>
        <x:v>East</x:v>
      </x:c>
      <x:c r="L86" t="n">
        <x:f>XLOOKUP(B86,Orders!A:A,Orders!B:B,"")</x:f>
        <x:v>46013</x:v>
      </x:c>
      <x:c r="M86" t="str">
        <x:f>XLOOKUP(C86,Products!A:A,Products!C:C,"")</x:f>
        <x:v>Accessories</x:v>
      </x:c>
    </x:row>
    <x:row r="87">
      <x:c r="A87" s="15" t="str">
        <x:v>ITEM00035_3</x:v>
      </x:c>
      <x:c r="B87" s="15" t="str">
        <x:v>ORD00035</x:v>
      </x:c>
      <x:c r="C87" s="15" t="str">
        <x:v>PROD040</x:v>
      </x:c>
      <x:c r="D87" s="15" t="n">
        <x:v>4</x:v>
      </x:c>
      <x:c r="E87" s="15" t="n">
        <x:v>8561.07</x:v>
      </x:c>
      <x:c r="F87" s="15" t="n">
        <x:v>0</x:v>
      </x:c>
      <x:c r="G87" s="15" t="n">
        <x:v>34244.28</x:v>
      </x:c>
      <x:c r="H87" s="15" t="n">
        <x:v>34244.28</x:v>
      </x:c>
      <x:c r="I87" s="15" t="n">
        <x:v>27364</x:v>
      </x:c>
      <x:c r="J87" s="15" t="n">
        <x:v>6880.28</x:v>
      </x:c>
      <x:c r="K87" t="str">
        <x:f>XLOOKUP(B87,Orders!A:A,Orders!E:E,"")</x:f>
        <x:v>East</x:v>
      </x:c>
      <x:c r="L87" t="n">
        <x:f>XLOOKUP(B87,Orders!A:A,Orders!B:B,"")</x:f>
        <x:v>46013</x:v>
      </x:c>
      <x:c r="M87" t="str">
        <x:f>XLOOKUP(C87,Products!A:A,Products!C:C,"")</x:f>
        <x:v>Electronics</x:v>
      </x:c>
    </x:row>
    <x:row r="88">
      <x:c r="A88" s="15" t="str">
        <x:v>ITEM00035_4</x:v>
      </x:c>
      <x:c r="B88" s="15" t="str">
        <x:v>ORD00035</x:v>
      </x:c>
      <x:c r="C88" s="15" t="str">
        <x:v>PROD035</x:v>
      </x:c>
      <x:c r="D88" s="15" t="n">
        <x:v>6</x:v>
      </x:c>
      <x:c r="E88" s="15" t="n">
        <x:v>3972.26</x:v>
      </x:c>
      <x:c r="F88" s="15" t="n">
        <x:v>0</x:v>
      </x:c>
      <x:c r="G88" s="15" t="n">
        <x:v>23833.56</x:v>
      </x:c>
      <x:c r="H88" s="15" t="n">
        <x:v>23833.56</x:v>
      </x:c>
      <x:c r="I88" s="15" t="n">
        <x:v>19122</x:v>
      </x:c>
      <x:c r="J88" s="15" t="n">
        <x:v>4711.56</x:v>
      </x:c>
      <x:c r="K88" t="str">
        <x:f>XLOOKUP(B88,Orders!A:A,Orders!E:E,"")</x:f>
        <x:v>East</x:v>
      </x:c>
      <x:c r="L88" t="n">
        <x:f>XLOOKUP(B88,Orders!A:A,Orders!B:B,"")</x:f>
        <x:v>46013</x:v>
      </x:c>
      <x:c r="M88" t="str">
        <x:f>XLOOKUP(C88,Products!A:A,Products!C:C,"")</x:f>
        <x:v>Electronics</x:v>
      </x:c>
    </x:row>
    <x:row r="89">
      <x:c r="A89" s="15" t="str">
        <x:v>ITEM00036_1</x:v>
      </x:c>
      <x:c r="B89" s="15" t="str">
        <x:v>ORD00036</x:v>
      </x:c>
      <x:c r="C89" s="15" t="str">
        <x:v>PROD017</x:v>
      </x:c>
      <x:c r="D89" s="15" t="n">
        <x:v>8</x:v>
      </x:c>
      <x:c r="E89" s="15" t="n">
        <x:v>7311.62</x:v>
      </x:c>
      <x:c r="F89" s="15" t="n">
        <x:v>0</x:v>
      </x:c>
      <x:c r="G89" s="15" t="n">
        <x:v>58492.96</x:v>
      </x:c>
      <x:c r="H89" s="15" t="n">
        <x:v>58492.96</x:v>
      </x:c>
      <x:c r="I89" s="15" t="n">
        <x:v>42064</x:v>
      </x:c>
      <x:c r="J89" s="15" t="n">
        <x:v>16428.96</x:v>
      </x:c>
      <x:c r="K89" t="str">
        <x:f>XLOOKUP(B89,Orders!A:A,Orders!E:E,"")</x:f>
        <x:v>West</x:v>
      </x:c>
      <x:c r="L89" t="n">
        <x:f>XLOOKUP(B89,Orders!A:A,Orders!B:B,"")</x:f>
        <x:v>46140</x:v>
      </x:c>
      <x:c r="M89" t="str">
        <x:f>XLOOKUP(C89,Products!A:A,Products!C:C,"")</x:f>
        <x:v>Accessories</x:v>
      </x:c>
    </x:row>
    <x:row r="90">
      <x:c r="A90" s="15" t="str">
        <x:v>ITEM00037_1</x:v>
      </x:c>
      <x:c r="B90" s="15" t="str">
        <x:v>ORD00037</x:v>
      </x:c>
      <x:c r="C90" s="15" t="str">
        <x:v>PROD037</x:v>
      </x:c>
      <x:c r="D90" s="15" t="n">
        <x:v>5</x:v>
      </x:c>
      <x:c r="E90" s="15" t="n">
        <x:v>9876.8</x:v>
      </x:c>
      <x:c r="F90" s="15" t="n">
        <x:v>0</x:v>
      </x:c>
      <x:c r="G90" s="15" t="n">
        <x:v>49384</x:v>
      </x:c>
      <x:c r="H90" s="15" t="n">
        <x:v>49384</x:v>
      </x:c>
      <x:c r="I90" s="15" t="n">
        <x:v>35620</x:v>
      </x:c>
      <x:c r="J90" s="15" t="n">
        <x:v>13764</x:v>
      </x:c>
      <x:c r="K90" t="str">
        <x:f>XLOOKUP(B90,Orders!A:A,Orders!E:E,"")</x:f>
        <x:v>North</x:v>
      </x:c>
      <x:c r="L90" t="n">
        <x:f>XLOOKUP(B90,Orders!A:A,Orders!B:B,"")</x:f>
        <x:v>45922</x:v>
      </x:c>
      <x:c r="M90" t="str">
        <x:f>XLOOKUP(C90,Products!A:A,Products!C:C,"")</x:f>
        <x:v>Accessories</x:v>
      </x:c>
    </x:row>
    <x:row r="91">
      <x:c r="A91" s="15" t="str">
        <x:v>ITEM00037_2</x:v>
      </x:c>
      <x:c r="B91" s="15" t="str">
        <x:v>ORD00037</x:v>
      </x:c>
      <x:c r="C91" s="15" t="str">
        <x:v>PROD005</x:v>
      </x:c>
      <x:c r="D91" s="15" t="n">
        <x:v>1</x:v>
      </x:c>
      <x:c r="E91" s="15" t="n">
        <x:v>6453.62</x:v>
      </x:c>
      <x:c r="F91" s="15" t="n">
        <x:v>0.1</x:v>
      </x:c>
      <x:c r="G91" s="15" t="n">
        <x:v>6453.62</x:v>
      </x:c>
      <x:c r="H91" s="15" t="n">
        <x:v>5808.26</x:v>
      </x:c>
      <x:c r="I91" s="15" t="n">
        <x:v>4848</x:v>
      </x:c>
      <x:c r="J91" s="15" t="n">
        <x:v>960.26</x:v>
      </x:c>
      <x:c r="K91" t="str">
        <x:f>XLOOKUP(B91,Orders!A:A,Orders!E:E,"")</x:f>
        <x:v>North</x:v>
      </x:c>
      <x:c r="L91" t="n">
        <x:f>XLOOKUP(B91,Orders!A:A,Orders!B:B,"")</x:f>
        <x:v>45922</x:v>
      </x:c>
      <x:c r="M91" t="str">
        <x:f>XLOOKUP(C91,Products!A:A,Products!C:C,"")</x:f>
        <x:v>Office Supplies</x:v>
      </x:c>
    </x:row>
    <x:row r="92">
      <x:c r="A92" s="15" t="str">
        <x:v>ITEM00038_1</x:v>
      </x:c>
      <x:c r="B92" s="15" t="str">
        <x:v>ORD00038</x:v>
      </x:c>
      <x:c r="C92" s="15" t="str">
        <x:v>PROD031</x:v>
      </x:c>
      <x:c r="D92" s="15" t="n">
        <x:v>6</x:v>
      </x:c>
      <x:c r="E92" s="15" t="n">
        <x:v>3371.81</x:v>
      </x:c>
      <x:c r="F92" s="15" t="n">
        <x:v>0.1</x:v>
      </x:c>
      <x:c r="G92" s="15" t="n">
        <x:v>20230.86</x:v>
      </x:c>
      <x:c r="H92" s="15" t="n">
        <x:v>18207.77</x:v>
      </x:c>
      <x:c r="I92" s="15" t="n">
        <x:v>16782</x:v>
      </x:c>
      <x:c r="J92" s="15" t="n">
        <x:v>1425.77</x:v>
      </x:c>
      <x:c r="K92" t="str">
        <x:f>XLOOKUP(B92,Orders!A:A,Orders!E:E,"")</x:f>
        <x:v>East</x:v>
      </x:c>
      <x:c r="L92" t="n">
        <x:f>XLOOKUP(B92,Orders!A:A,Orders!B:B,"")</x:f>
        <x:v>46120</x:v>
      </x:c>
      <x:c r="M92" t="str">
        <x:f>XLOOKUP(C92,Products!A:A,Products!C:C,"")</x:f>
        <x:v>Furniture</x:v>
      </x:c>
    </x:row>
    <x:row r="93">
      <x:c r="A93" s="15" t="str">
        <x:v>ITEM00038_2</x:v>
      </x:c>
      <x:c r="B93" s="15" t="str">
        <x:v>ORD00038</x:v>
      </x:c>
      <x:c r="C93" s="15" t="str">
        <x:v>PROD039</x:v>
      </x:c>
      <x:c r="D93" s="15" t="n">
        <x:v>1</x:v>
      </x:c>
      <x:c r="E93" s="15" t="n">
        <x:v>5945.62</x:v>
      </x:c>
      <x:c r="F93" s="15" t="n">
        <x:v>0</x:v>
      </x:c>
      <x:c r="G93" s="15" t="n">
        <x:v>5945.62</x:v>
      </x:c>
      <x:c r="H93" s="15" t="n">
        <x:v>5945.62</x:v>
      </x:c>
      <x:c r="I93" s="15" t="n">
        <x:v>4573</x:v>
      </x:c>
      <x:c r="J93" s="15" t="n">
        <x:v>1372.62</x:v>
      </x:c>
      <x:c r="K93" t="str">
        <x:f>XLOOKUP(B93,Orders!A:A,Orders!E:E,"")</x:f>
        <x:v>East</x:v>
      </x:c>
      <x:c r="L93" t="n">
        <x:f>XLOOKUP(B93,Orders!A:A,Orders!B:B,"")</x:f>
        <x:v>46120</x:v>
      </x:c>
      <x:c r="M93" t="str">
        <x:f>XLOOKUP(C93,Products!A:A,Products!C:C,"")</x:f>
        <x:v>Office Supplies</x:v>
      </x:c>
    </x:row>
    <x:row r="94">
      <x:c r="A94" s="15" t="str">
        <x:v>ITEM00038_3</x:v>
      </x:c>
      <x:c r="B94" s="15" t="str">
        <x:v>ORD00038</x:v>
      </x:c>
      <x:c r="C94" s="15" t="str">
        <x:v>PROD017</x:v>
      </x:c>
      <x:c r="D94" s="15" t="n">
        <x:v>5</x:v>
      </x:c>
      <x:c r="E94" s="15" t="n">
        <x:v>7311.62</x:v>
      </x:c>
      <x:c r="F94" s="15" t="n">
        <x:v>0.15</x:v>
      </x:c>
      <x:c r="G94" s="15" t="n">
        <x:v>36558.1</x:v>
      </x:c>
      <x:c r="H94" s="15" t="n">
        <x:v>31074.38</x:v>
      </x:c>
      <x:c r="I94" s="15" t="n">
        <x:v>26290</x:v>
      </x:c>
      <x:c r="J94" s="15" t="n">
        <x:v>4784.38</x:v>
      </x:c>
      <x:c r="K94" t="str">
        <x:f>XLOOKUP(B94,Orders!A:A,Orders!E:E,"")</x:f>
        <x:v>East</x:v>
      </x:c>
      <x:c r="L94" t="n">
        <x:f>XLOOKUP(B94,Orders!A:A,Orders!B:B,"")</x:f>
        <x:v>46120</x:v>
      </x:c>
      <x:c r="M94" t="str">
        <x:f>XLOOKUP(C94,Products!A:A,Products!C:C,"")</x:f>
        <x:v>Accessories</x:v>
      </x:c>
    </x:row>
    <x:row r="95">
      <x:c r="A95" s="15" t="str">
        <x:v>ITEM00038_4</x:v>
      </x:c>
      <x:c r="B95" s="15" t="str">
        <x:v>ORD00038</x:v>
      </x:c>
      <x:c r="C95" s="15" t="str">
        <x:v>PROD019</x:v>
      </x:c>
      <x:c r="D95" s="15" t="n">
        <x:v>3</x:v>
      </x:c>
      <x:c r="E95" s="15" t="n">
        <x:v>5996.29</x:v>
      </x:c>
      <x:c r="F95" s="15" t="n">
        <x:v>0.15</x:v>
      </x:c>
      <x:c r="G95" s="15" t="n">
        <x:v>17988.87</x:v>
      </x:c>
      <x:c r="H95" s="15" t="n">
        <x:v>15290.54</x:v>
      </x:c>
      <x:c r="I95" s="15" t="n">
        <x:v>13530</x:v>
      </x:c>
      <x:c r="J95" s="15" t="n">
        <x:v>1760.54</x:v>
      </x:c>
      <x:c r="K95" t="str">
        <x:f>XLOOKUP(B95,Orders!A:A,Orders!E:E,"")</x:f>
        <x:v>East</x:v>
      </x:c>
      <x:c r="L95" t="n">
        <x:f>XLOOKUP(B95,Orders!A:A,Orders!B:B,"")</x:f>
        <x:v>46120</x:v>
      </x:c>
      <x:c r="M95" t="str">
        <x:f>XLOOKUP(C95,Products!A:A,Products!C:C,"")</x:f>
        <x:v>Electronics</x:v>
      </x:c>
    </x:row>
    <x:row r="96">
      <x:c r="A96" s="15" t="str">
        <x:v>ITEM00039_1</x:v>
      </x:c>
      <x:c r="B96" s="15" t="str">
        <x:v>ORD00039</x:v>
      </x:c>
      <x:c r="C96" s="15" t="str">
        <x:v>PROD027</x:v>
      </x:c>
      <x:c r="D96" s="15" t="n">
        <x:v>5</x:v>
      </x:c>
      <x:c r="E96" s="15" t="n">
        <x:v>6979.71</x:v>
      </x:c>
      <x:c r="F96" s="15" t="n">
        <x:v>0</x:v>
      </x:c>
      <x:c r="G96" s="15" t="n">
        <x:v>34898.55</x:v>
      </x:c>
      <x:c r="H96" s="15" t="n">
        <x:v>34898.55</x:v>
      </x:c>
      <x:c r="I96" s="15" t="n">
        <x:v>28185</x:v>
      </x:c>
      <x:c r="J96" s="15" t="n">
        <x:v>6713.55</x:v>
      </x:c>
      <x:c r="K96" t="str">
        <x:f>XLOOKUP(B96,Orders!A:A,Orders!E:E,"")</x:f>
        <x:v>West</x:v>
      </x:c>
      <x:c r="L96" t="n">
        <x:f>XLOOKUP(B96,Orders!A:A,Orders!B:B,"")</x:f>
        <x:v>45896</x:v>
      </x:c>
      <x:c r="M96" t="str">
        <x:f>XLOOKUP(C96,Products!A:A,Products!C:C,"")</x:f>
        <x:v>Electronics</x:v>
      </x:c>
    </x:row>
    <x:row r="97">
      <x:c r="A97" s="15" t="str">
        <x:v>ITEM00039_2</x:v>
      </x:c>
      <x:c r="B97" s="15" t="str">
        <x:v>ORD00039</x:v>
      </x:c>
      <x:c r="C97" s="15" t="str">
        <x:v>PROD006</x:v>
      </x:c>
      <x:c r="D97" s="15" t="n">
        <x:v>3</x:v>
      </x:c>
      <x:c r="E97" s="15" t="n">
        <x:v>4261.26</x:v>
      </x:c>
      <x:c r="F97" s="15" t="n">
        <x:v>0.15</x:v>
      </x:c>
      <x:c r="G97" s="15" t="n">
        <x:v>12783.78</x:v>
      </x:c>
      <x:c r="H97" s="15" t="n">
        <x:v>10866.21</x:v>
      </x:c>
      <x:c r="I97" s="15" t="n">
        <x:v>9201</x:v>
      </x:c>
      <x:c r="J97" s="15" t="n">
        <x:v>1665.21</x:v>
      </x:c>
      <x:c r="K97" t="str">
        <x:f>XLOOKUP(B97,Orders!A:A,Orders!E:E,"")</x:f>
        <x:v>West</x:v>
      </x:c>
      <x:c r="L97" t="n">
        <x:f>XLOOKUP(B97,Orders!A:A,Orders!B:B,"")</x:f>
        <x:v>45896</x:v>
      </x:c>
      <x:c r="M97" t="str">
        <x:f>XLOOKUP(C97,Products!A:A,Products!C:C,"")</x:f>
        <x:v>Office Supplies</x:v>
      </x:c>
    </x:row>
    <x:row r="98">
      <x:c r="A98" s="15" t="str">
        <x:v>ITEM00039_3</x:v>
      </x:c>
      <x:c r="B98" s="15" t="str">
        <x:v>ORD00039</x:v>
      </x:c>
      <x:c r="C98" s="15" t="str">
        <x:v>PROD031</x:v>
      </x:c>
      <x:c r="D98" s="15" t="n">
        <x:v>7</x:v>
      </x:c>
      <x:c r="E98" s="15" t="n">
        <x:v>3371.81</x:v>
      </x:c>
      <x:c r="F98" s="15" t="n">
        <x:v>0</x:v>
      </x:c>
      <x:c r="G98" s="15" t="n">
        <x:v>23602.67</x:v>
      </x:c>
      <x:c r="H98" s="15" t="n">
        <x:v>23602.67</x:v>
      </x:c>
      <x:c r="I98" s="15" t="n">
        <x:v>19579</x:v>
      </x:c>
      <x:c r="J98" s="15" t="n">
        <x:v>4023.67</x:v>
      </x:c>
      <x:c r="K98" t="str">
        <x:f>XLOOKUP(B98,Orders!A:A,Orders!E:E,"")</x:f>
        <x:v>West</x:v>
      </x:c>
      <x:c r="L98" t="n">
        <x:f>XLOOKUP(B98,Orders!A:A,Orders!B:B,"")</x:f>
        <x:v>45896</x:v>
      </x:c>
      <x:c r="M98" t="str">
        <x:f>XLOOKUP(C98,Products!A:A,Products!C:C,"")</x:f>
        <x:v>Furniture</x:v>
      </x:c>
    </x:row>
    <x:row r="99">
      <x:c r="A99" s="15" t="str">
        <x:v>ITEM00040_1</x:v>
      </x:c>
      <x:c r="B99" s="15" t="str">
        <x:v>ORD00040</x:v>
      </x:c>
      <x:c r="C99" s="15" t="str">
        <x:v>PROD009</x:v>
      </x:c>
      <x:c r="D99" s="15" t="n">
        <x:v>8</x:v>
      </x:c>
      <x:c r="E99" s="15" t="n">
        <x:v>4722.96</x:v>
      </x:c>
      <x:c r="F99" s="15" t="n">
        <x:v>0</x:v>
      </x:c>
      <x:c r="G99" s="15" t="n">
        <x:v>37783.68</x:v>
      </x:c>
      <x:c r="H99" s="15" t="n">
        <x:v>37783.68</x:v>
      </x:c>
      <x:c r="I99" s="15" t="n">
        <x:v>25704</x:v>
      </x:c>
      <x:c r="J99" s="15" t="n">
        <x:v>12079.68</x:v>
      </x:c>
      <x:c r="K99" t="str">
        <x:f>XLOOKUP(B99,Orders!A:A,Orders!E:E,"")</x:f>
        <x:v>West</x:v>
      </x:c>
      <x:c r="L99" t="n">
        <x:f>XLOOKUP(B99,Orders!A:A,Orders!B:B,"")</x:f>
        <x:v>45912</x:v>
      </x:c>
      <x:c r="M99" t="str">
        <x:f>XLOOKUP(C99,Products!A:A,Products!C:C,"")</x:f>
        <x:v>Accessories</x:v>
      </x:c>
    </x:row>
    <x:row r="100">
      <x:c r="A100" s="15" t="str">
        <x:v>ITEM00040_2</x:v>
      </x:c>
      <x:c r="B100" s="15" t="str">
        <x:v>ORD00040</x:v>
      </x:c>
      <x:c r="C100" s="15" t="str">
        <x:v>PROD018</x:v>
      </x:c>
      <x:c r="D100" s="15" t="n">
        <x:v>1</x:v>
      </x:c>
      <x:c r="E100" s="15" t="n">
        <x:v>5637.8</x:v>
      </x:c>
      <x:c r="F100" s="15" t="n">
        <x:v>0.05</x:v>
      </x:c>
      <x:c r="G100" s="15" t="n">
        <x:v>5637.8</x:v>
      </x:c>
      <x:c r="H100" s="15" t="n">
        <x:v>5355.91</x:v>
      </x:c>
      <x:c r="I100" s="15" t="n">
        <x:v>4211</x:v>
      </x:c>
      <x:c r="J100" s="15" t="n">
        <x:v>1144.91</x:v>
      </x:c>
      <x:c r="K100" t="str">
        <x:f>XLOOKUP(B100,Orders!A:A,Orders!E:E,"")</x:f>
        <x:v>West</x:v>
      </x:c>
      <x:c r="L100" t="n">
        <x:f>XLOOKUP(B100,Orders!A:A,Orders!B:B,"")</x:f>
        <x:v>45912</x:v>
      </x:c>
      <x:c r="M100" t="str">
        <x:f>XLOOKUP(C100,Products!A:A,Products!C:C,"")</x:f>
        <x:v>Electronics</x:v>
      </x:c>
    </x:row>
    <x:row r="101">
      <x:c r="A101" s="15" t="str">
        <x:v>ITEM00041_1</x:v>
      </x:c>
      <x:c r="B101" s="15" t="str">
        <x:v>ORD00041</x:v>
      </x:c>
      <x:c r="C101" s="15" t="str">
        <x:v>PROD024</x:v>
      </x:c>
      <x:c r="D101" s="15" t="n">
        <x:v>3</x:v>
      </x:c>
      <x:c r="E101" s="15" t="n">
        <x:v>4018</x:v>
      </x:c>
      <x:c r="F101" s="15" t="n">
        <x:v>0</x:v>
      </x:c>
      <x:c r="G101" s="15" t="n">
        <x:v>12054</x:v>
      </x:c>
      <x:c r="H101" s="15" t="n">
        <x:v>12054</x:v>
      </x:c>
      <x:c r="I101" s="15" t="n">
        <x:v>9576</x:v>
      </x:c>
      <x:c r="J101" s="15" t="n">
        <x:v>2478</x:v>
      </x:c>
      <x:c r="K101" t="str">
        <x:f>XLOOKUP(B101,Orders!A:A,Orders!E:E,"")</x:f>
        <x:v>East</x:v>
      </x:c>
      <x:c r="L101" t="n">
        <x:f>XLOOKUP(B101,Orders!A:A,Orders!B:B,"")</x:f>
        <x:v>45944</x:v>
      </x:c>
      <x:c r="M101" t="str">
        <x:f>XLOOKUP(C101,Products!A:A,Products!C:C,"")</x:f>
        <x:v>Furniture</x:v>
      </x:c>
    </x:row>
    <x:row r="102">
      <x:c r="A102" s="15" t="str">
        <x:v>ITEM00041_2</x:v>
      </x:c>
      <x:c r="B102" s="15" t="str">
        <x:v>ORD00041</x:v>
      </x:c>
      <x:c r="C102" s="15" t="str">
        <x:v>PROD002</x:v>
      </x:c>
      <x:c r="D102" s="15" t="n">
        <x:v>5</x:v>
      </x:c>
      <x:c r="E102" s="15" t="n">
        <x:v>4655.92</x:v>
      </x:c>
      <x:c r="F102" s="15" t="n">
        <x:v>0</x:v>
      </x:c>
      <x:c r="G102" s="15" t="n">
        <x:v>23279.6</x:v>
      </x:c>
      <x:c r="H102" s="15" t="n">
        <x:v>23279.6</x:v>
      </x:c>
      <x:c r="I102" s="15" t="n">
        <x:v>15665</x:v>
      </x:c>
      <x:c r="J102" s="15" t="n">
        <x:v>7614.6</x:v>
      </x:c>
      <x:c r="K102" t="str">
        <x:f>XLOOKUP(B102,Orders!A:A,Orders!E:E,"")</x:f>
        <x:v>East</x:v>
      </x:c>
      <x:c r="L102" t="n">
        <x:f>XLOOKUP(B102,Orders!A:A,Orders!B:B,"")</x:f>
        <x:v>45944</x:v>
      </x:c>
      <x:c r="M102" t="str">
        <x:f>XLOOKUP(C102,Products!A:A,Products!C:C,"")</x:f>
        <x:v>Accessories</x:v>
      </x:c>
    </x:row>
    <x:row r="103">
      <x:c r="A103" s="15" t="str">
        <x:v>ITEM00041_3</x:v>
      </x:c>
      <x:c r="B103" s="15" t="str">
        <x:v>ORD00041</x:v>
      </x:c>
      <x:c r="C103" s="15" t="str">
        <x:v>PROD019</x:v>
      </x:c>
      <x:c r="D103" s="15" t="n">
        <x:v>4</x:v>
      </x:c>
      <x:c r="E103" s="15" t="n">
        <x:v>5996.29</x:v>
      </x:c>
      <x:c r="F103" s="15" t="n">
        <x:v>0.05</x:v>
      </x:c>
      <x:c r="G103" s="15" t="n">
        <x:v>23985.16</x:v>
      </x:c>
      <x:c r="H103" s="15" t="n">
        <x:v>22785.9</x:v>
      </x:c>
      <x:c r="I103" s="15" t="n">
        <x:v>18040</x:v>
      </x:c>
      <x:c r="J103" s="15" t="n">
        <x:v>4745.9</x:v>
      </x:c>
      <x:c r="K103" t="str">
        <x:f>XLOOKUP(B103,Orders!A:A,Orders!E:E,"")</x:f>
        <x:v>East</x:v>
      </x:c>
      <x:c r="L103" t="n">
        <x:f>XLOOKUP(B103,Orders!A:A,Orders!B:B,"")</x:f>
        <x:v>45944</x:v>
      </x:c>
      <x:c r="M103" t="str">
        <x:f>XLOOKUP(C103,Products!A:A,Products!C:C,"")</x:f>
        <x:v>Electronics</x:v>
      </x:c>
    </x:row>
    <x:row r="104">
      <x:c r="A104" s="15" t="str">
        <x:v>ITEM00042_1</x:v>
      </x:c>
      <x:c r="B104" s="15" t="str">
        <x:v>ORD00042</x:v>
      </x:c>
      <x:c r="C104" s="15" t="str">
        <x:v>PROD025</x:v>
      </x:c>
      <x:c r="D104" s="15" t="n">
        <x:v>3</x:v>
      </x:c>
      <x:c r="E104" s="15" t="n">
        <x:v>1148.84</x:v>
      </x:c>
      <x:c r="F104" s="15" t="n">
        <x:v>0</x:v>
      </x:c>
      <x:c r="G104" s="15" t="n">
        <x:v>3446.52</x:v>
      </x:c>
      <x:c r="H104" s="15" t="n">
        <x:v>3446.52</x:v>
      </x:c>
      <x:c r="I104" s="15" t="n">
        <x:v>2634</x:v>
      </x:c>
      <x:c r="J104" s="15" t="n">
        <x:v>812.52</x:v>
      </x:c>
      <x:c r="K104" t="str">
        <x:f>XLOOKUP(B104,Orders!A:A,Orders!E:E,"")</x:f>
        <x:v>North</x:v>
      </x:c>
      <x:c r="L104" t="n">
        <x:f>XLOOKUP(B104,Orders!A:A,Orders!B:B,"")</x:f>
        <x:v>45815</x:v>
      </x:c>
      <x:c r="M104" t="str">
        <x:f>XLOOKUP(C104,Products!A:A,Products!C:C,"")</x:f>
        <x:v>Furniture</x:v>
      </x:c>
    </x:row>
    <x:row r="105">
      <x:c r="A105" s="15" t="str">
        <x:v>ITEM00043_1</x:v>
      </x:c>
      <x:c r="B105" s="15" t="str">
        <x:v>ORD00043</x:v>
      </x:c>
      <x:c r="C105" s="15" t="str">
        <x:v>PROD040</x:v>
      </x:c>
      <x:c r="D105" s="15" t="n">
        <x:v>7</x:v>
      </x:c>
      <x:c r="E105" s="15" t="n">
        <x:v>8561.07</x:v>
      </x:c>
      <x:c r="F105" s="15" t="n">
        <x:v>0</x:v>
      </x:c>
      <x:c r="G105" s="15" t="n">
        <x:v>59927.49</x:v>
      </x:c>
      <x:c r="H105" s="15" t="n">
        <x:v>59927.49</x:v>
      </x:c>
      <x:c r="I105" s="15" t="n">
        <x:v>47887</x:v>
      </x:c>
      <x:c r="J105" s="15" t="n">
        <x:v>12040.49</x:v>
      </x:c>
      <x:c r="K105" t="str">
        <x:f>XLOOKUP(B105,Orders!A:A,Orders!E:E,"")</x:f>
        <x:v>East</x:v>
      </x:c>
      <x:c r="L105" t="n">
        <x:f>XLOOKUP(B105,Orders!A:A,Orders!B:B,"")</x:f>
        <x:v>45749</x:v>
      </x:c>
      <x:c r="M105" t="str">
        <x:f>XLOOKUP(C105,Products!A:A,Products!C:C,"")</x:f>
        <x:v>Electronics</x:v>
      </x:c>
    </x:row>
    <x:row r="106">
      <x:c r="A106" s="15" t="str">
        <x:v>ITEM00044_1</x:v>
      </x:c>
      <x:c r="B106" s="15" t="str">
        <x:v>ORD00044</x:v>
      </x:c>
      <x:c r="C106" s="15" t="str">
        <x:v>PROD035</x:v>
      </x:c>
      <x:c r="D106" s="15" t="n">
        <x:v>4</x:v>
      </x:c>
      <x:c r="E106" s="15" t="n">
        <x:v>3972.26</x:v>
      </x:c>
      <x:c r="F106" s="15" t="n">
        <x:v>0.05</x:v>
      </x:c>
      <x:c r="G106" s="15" t="n">
        <x:v>15889.04</x:v>
      </x:c>
      <x:c r="H106" s="15" t="n">
        <x:v>15094.59</x:v>
      </x:c>
      <x:c r="I106" s="15" t="n">
        <x:v>12748</x:v>
      </x:c>
      <x:c r="J106" s="15" t="n">
        <x:v>2346.59</x:v>
      </x:c>
      <x:c r="K106" t="str">
        <x:f>XLOOKUP(B106,Orders!A:A,Orders!E:E,"")</x:f>
        <x:v>East</x:v>
      </x:c>
      <x:c r="L106" t="n">
        <x:f>XLOOKUP(B106,Orders!A:A,Orders!B:B,"")</x:f>
        <x:v>46035</x:v>
      </x:c>
      <x:c r="M106" t="str">
        <x:f>XLOOKUP(C106,Products!A:A,Products!C:C,"")</x:f>
        <x:v>Electronics</x:v>
      </x:c>
    </x:row>
    <x:row r="107">
      <x:c r="A107" s="15" t="str">
        <x:v>ITEM00044_2</x:v>
      </x:c>
      <x:c r="B107" s="15" t="str">
        <x:v>ORD00044</x:v>
      </x:c>
      <x:c r="C107" s="15" t="str">
        <x:v>PROD007</x:v>
      </x:c>
      <x:c r="D107" s="15" t="n">
        <x:v>2</x:v>
      </x:c>
      <x:c r="E107" s="15" t="n">
        <x:v>5013.07</x:v>
      </x:c>
      <x:c r="F107" s="15" t="n">
        <x:v>0.15</x:v>
      </x:c>
      <x:c r="G107" s="15" t="n">
        <x:v>10026.14</x:v>
      </x:c>
      <x:c r="H107" s="15" t="n">
        <x:v>8522.22</x:v>
      </x:c>
      <x:c r="I107" s="15" t="n">
        <x:v>7882</x:v>
      </x:c>
      <x:c r="J107" s="15" t="n">
        <x:v>640.22</x:v>
      </x:c>
      <x:c r="K107" t="str">
        <x:f>XLOOKUP(B107,Orders!A:A,Orders!E:E,"")</x:f>
        <x:v>East</x:v>
      </x:c>
      <x:c r="L107" t="n">
        <x:f>XLOOKUP(B107,Orders!A:A,Orders!B:B,"")</x:f>
        <x:v>46035</x:v>
      </x:c>
      <x:c r="M107" t="str">
        <x:f>XLOOKUP(C107,Products!A:A,Products!C:C,"")</x:f>
        <x:v>Electronics</x:v>
      </x:c>
    </x:row>
    <x:row r="108">
      <x:c r="A108" s="15" t="str">
        <x:v>ITEM00044_3</x:v>
      </x:c>
      <x:c r="B108" s="15" t="str">
        <x:v>ORD00044</x:v>
      </x:c>
      <x:c r="C108" s="15" t="str">
        <x:v>PROD015</x:v>
      </x:c>
      <x:c r="D108" s="15" t="n">
        <x:v>5</x:v>
      </x:c>
      <x:c r="E108" s="15" t="n">
        <x:v>5903.1</x:v>
      </x:c>
      <x:c r="F108" s="15" t="n">
        <x:v>0.15</x:v>
      </x:c>
      <x:c r="G108" s="15" t="n">
        <x:v>29515.5</x:v>
      </x:c>
      <x:c r="H108" s="15" t="n">
        <x:v>25088.17</x:v>
      </x:c>
      <x:c r="I108" s="15" t="n">
        <x:v>23925</x:v>
      </x:c>
      <x:c r="J108" s="15" t="n">
        <x:v>1163.17</x:v>
      </x:c>
      <x:c r="K108" t="str">
        <x:f>XLOOKUP(B108,Orders!A:A,Orders!E:E,"")</x:f>
        <x:v>East</x:v>
      </x:c>
      <x:c r="L108" t="n">
        <x:f>XLOOKUP(B108,Orders!A:A,Orders!B:B,"")</x:f>
        <x:v>46035</x:v>
      </x:c>
      <x:c r="M108" t="str">
        <x:f>XLOOKUP(C108,Products!A:A,Products!C:C,"")</x:f>
        <x:v>Electronics</x:v>
      </x:c>
    </x:row>
    <x:row r="109">
      <x:c r="A109" s="15" t="str">
        <x:v>ITEM00044_4</x:v>
      </x:c>
      <x:c r="B109" s="15" t="str">
        <x:v>ORD00044</x:v>
      </x:c>
      <x:c r="C109" s="15" t="str">
        <x:v>PROD012</x:v>
      </x:c>
      <x:c r="D109" s="15" t="n">
        <x:v>2</x:v>
      </x:c>
      <x:c r="E109" s="15" t="n">
        <x:v>7989.38</x:v>
      </x:c>
      <x:c r="F109" s="15" t="n">
        <x:v>0.05</x:v>
      </x:c>
      <x:c r="G109" s="15" t="n">
        <x:v>15978.76</x:v>
      </x:c>
      <x:c r="H109" s="15" t="n">
        <x:v>15179.82</x:v>
      </x:c>
      <x:c r="I109" s="15" t="n">
        <x:v>12970</x:v>
      </x:c>
      <x:c r="J109" s="15" t="n">
        <x:v>2209.82</x:v>
      </x:c>
      <x:c r="K109" t="str">
        <x:f>XLOOKUP(B109,Orders!A:A,Orders!E:E,"")</x:f>
        <x:v>East</x:v>
      </x:c>
      <x:c r="L109" t="n">
        <x:f>XLOOKUP(B109,Orders!A:A,Orders!B:B,"")</x:f>
        <x:v>46035</x:v>
      </x:c>
      <x:c r="M109" t="str">
        <x:f>XLOOKUP(C109,Products!A:A,Products!C:C,"")</x:f>
        <x:v>Electronics</x:v>
      </x:c>
    </x:row>
    <x:row r="110">
      <x:c r="A110" s="15" t="str">
        <x:v>ITEM00045_1</x:v>
      </x:c>
      <x:c r="B110" s="15" t="str">
        <x:v>ORD00045</x:v>
      </x:c>
      <x:c r="C110" s="15" t="str">
        <x:v>PROD006</x:v>
      </x:c>
      <x:c r="D110" s="15" t="n">
        <x:v>4</x:v>
      </x:c>
      <x:c r="E110" s="15" t="n">
        <x:v>4261.26</x:v>
      </x:c>
      <x:c r="F110" s="15" t="n">
        <x:v>0</x:v>
      </x:c>
      <x:c r="G110" s="15" t="n">
        <x:v>17045.04</x:v>
      </x:c>
      <x:c r="H110" s="15" t="n">
        <x:v>17045.04</x:v>
      </x:c>
      <x:c r="I110" s="15" t="n">
        <x:v>12268</x:v>
      </x:c>
      <x:c r="J110" s="15" t="n">
        <x:v>4777.04</x:v>
      </x:c>
      <x:c r="K110" t="str">
        <x:f>XLOOKUP(B110,Orders!A:A,Orders!E:E,"")</x:f>
        <x:v>North</x:v>
      </x:c>
      <x:c r="L110" t="n">
        <x:f>XLOOKUP(B110,Orders!A:A,Orders!B:B,"")</x:f>
        <x:v>46096</x:v>
      </x:c>
      <x:c r="M110" t="str">
        <x:f>XLOOKUP(C110,Products!A:A,Products!C:C,"")</x:f>
        <x:v>Office Supplies</x:v>
      </x:c>
    </x:row>
    <x:row r="111">
      <x:c r="A111" s="15" t="str">
        <x:v>ITEM00046_1</x:v>
      </x:c>
      <x:c r="B111" s="15" t="str">
        <x:v>ORD00046</x:v>
      </x:c>
      <x:c r="C111" s="15" t="str">
        <x:v>PROD036</x:v>
      </x:c>
      <x:c r="D111" s="15" t="n">
        <x:v>4</x:v>
      </x:c>
      <x:c r="E111" s="15" t="n">
        <x:v>7158.64</x:v>
      </x:c>
      <x:c r="F111" s="15" t="n">
        <x:v>0.1</x:v>
      </x:c>
      <x:c r="G111" s="15" t="n">
        <x:v>28634.56</x:v>
      </x:c>
      <x:c r="H111" s="15" t="n">
        <x:v>25771.1</x:v>
      </x:c>
      <x:c r="I111" s="15" t="n">
        <x:v>20684</x:v>
      </x:c>
      <x:c r="J111" s="15" t="n">
        <x:v>5087.1</x:v>
      </x:c>
      <x:c r="K111" t="str">
        <x:f>XLOOKUP(B111,Orders!A:A,Orders!E:E,"")</x:f>
        <x:v>North</x:v>
      </x:c>
      <x:c r="L111" t="n">
        <x:f>XLOOKUP(B111,Orders!A:A,Orders!B:B,"")</x:f>
        <x:v>46147</x:v>
      </x:c>
      <x:c r="M111" t="str">
        <x:f>XLOOKUP(C111,Products!A:A,Products!C:C,"")</x:f>
        <x:v>Accessories</x:v>
      </x:c>
    </x:row>
    <x:row r="112">
      <x:c r="A112" s="15" t="str">
        <x:v>ITEM00046_2</x:v>
      </x:c>
      <x:c r="B112" s="15" t="str">
        <x:v>ORD00046</x:v>
      </x:c>
      <x:c r="C112" s="15" t="str">
        <x:v>PROD034</x:v>
      </x:c>
      <x:c r="D112" s="15" t="n">
        <x:v>6</x:v>
      </x:c>
      <x:c r="E112" s="15" t="n">
        <x:v>5451.76</x:v>
      </x:c>
      <x:c r="F112" s="15" t="n">
        <x:v>0.05</x:v>
      </x:c>
      <x:c r="G112" s="15" t="n">
        <x:v>32710.56</x:v>
      </x:c>
      <x:c r="H112" s="15" t="n">
        <x:v>31075.03</x:v>
      </x:c>
      <x:c r="I112" s="15" t="n">
        <x:v>22656</x:v>
      </x:c>
      <x:c r="J112" s="15" t="n">
        <x:v>8419.03</x:v>
      </x:c>
      <x:c r="K112" t="str">
        <x:f>XLOOKUP(B112,Orders!A:A,Orders!E:E,"")</x:f>
        <x:v>North</x:v>
      </x:c>
      <x:c r="L112" t="n">
        <x:f>XLOOKUP(B112,Orders!A:A,Orders!B:B,"")</x:f>
        <x:v>46147</x:v>
      </x:c>
      <x:c r="M112" t="str">
        <x:f>XLOOKUP(C112,Products!A:A,Products!C:C,"")</x:f>
        <x:v>Accessories</x:v>
      </x:c>
    </x:row>
    <x:row r="113">
      <x:c r="A113" s="15" t="str">
        <x:v>ITEM00046_3</x:v>
      </x:c>
      <x:c r="B113" s="15" t="str">
        <x:v>ORD00046</x:v>
      </x:c>
      <x:c r="C113" s="15" t="str">
        <x:v>PROD035</x:v>
      </x:c>
      <x:c r="D113" s="15" t="n">
        <x:v>7</x:v>
      </x:c>
      <x:c r="E113" s="15" t="n">
        <x:v>3972.26</x:v>
      </x:c>
      <x:c r="F113" s="15" t="n">
        <x:v>0.1</x:v>
      </x:c>
      <x:c r="G113" s="15" t="n">
        <x:v>27805.82</x:v>
      </x:c>
      <x:c r="H113" s="15" t="n">
        <x:v>25025.24</x:v>
      </x:c>
      <x:c r="I113" s="15" t="n">
        <x:v>22309</x:v>
      </x:c>
      <x:c r="J113" s="15" t="n">
        <x:v>2716.24</x:v>
      </x:c>
      <x:c r="K113" t="str">
        <x:f>XLOOKUP(B113,Orders!A:A,Orders!E:E,"")</x:f>
        <x:v>North</x:v>
      </x:c>
      <x:c r="L113" t="n">
        <x:f>XLOOKUP(B113,Orders!A:A,Orders!B:B,"")</x:f>
        <x:v>46147</x:v>
      </x:c>
      <x:c r="M113" t="str">
        <x:f>XLOOKUP(C113,Products!A:A,Products!C:C,"")</x:f>
        <x:v>Electronics</x:v>
      </x:c>
    </x:row>
    <x:row r="114">
      <x:c r="A114" s="15" t="str">
        <x:v>ITEM00047_1</x:v>
      </x:c>
      <x:c r="B114" s="15" t="str">
        <x:v>ORD00047</x:v>
      </x:c>
      <x:c r="C114" s="15" t="str">
        <x:v>PROD011</x:v>
      </x:c>
      <x:c r="D114" s="15" t="n">
        <x:v>3</x:v>
      </x:c>
      <x:c r="E114" s="15" t="n">
        <x:v>7135.27</x:v>
      </x:c>
      <x:c r="F114" s="15" t="n">
        <x:v>0</x:v>
      </x:c>
      <x:c r="G114" s="15" t="n">
        <x:v>21405.81</x:v>
      </x:c>
      <x:c r="H114" s="15" t="n">
        <x:v>21405.81</x:v>
      </x:c>
      <x:c r="I114" s="15" t="n">
        <x:v>15609</x:v>
      </x:c>
      <x:c r="J114" s="15" t="n">
        <x:v>5796.81</x:v>
      </x:c>
      <x:c r="K114" t="str">
        <x:f>XLOOKUP(B114,Orders!A:A,Orders!E:E,"")</x:f>
        <x:v>West</x:v>
      </x:c>
      <x:c r="L114" t="n">
        <x:f>XLOOKUP(B114,Orders!A:A,Orders!B:B,"")</x:f>
        <x:v>45698</x:v>
      </x:c>
      <x:c r="M114" t="str">
        <x:f>XLOOKUP(C114,Products!A:A,Products!C:C,"")</x:f>
        <x:v>Accessories</x:v>
      </x:c>
    </x:row>
    <x:row r="115">
      <x:c r="A115" s="15" t="str">
        <x:v>ITEM00048_1</x:v>
      </x:c>
      <x:c r="B115" s="15" t="str">
        <x:v>ORD00048</x:v>
      </x:c>
      <x:c r="C115" s="15" t="str">
        <x:v>PROD035</x:v>
      </x:c>
      <x:c r="D115" s="15" t="n">
        <x:v>1</x:v>
      </x:c>
      <x:c r="E115" s="15" t="n">
        <x:v>3972.26</x:v>
      </x:c>
      <x:c r="F115" s="15" t="n">
        <x:v>0.05</x:v>
      </x:c>
      <x:c r="G115" s="15" t="n">
        <x:v>3972.26</x:v>
      </x:c>
      <x:c r="H115" s="15" t="n">
        <x:v>3773.65</x:v>
      </x:c>
      <x:c r="I115" s="15" t="n">
        <x:v>3187</x:v>
      </x:c>
      <x:c r="J115" s="15" t="n">
        <x:v>586.65</x:v>
      </x:c>
      <x:c r="K115" t="str">
        <x:f>XLOOKUP(B115,Orders!A:A,Orders!E:E,"")</x:f>
        <x:v>South</x:v>
      </x:c>
      <x:c r="L115" t="n">
        <x:f>XLOOKUP(B115,Orders!A:A,Orders!B:B,"")</x:f>
        <x:v>46064</x:v>
      </x:c>
      <x:c r="M115" t="str">
        <x:f>XLOOKUP(C115,Products!A:A,Products!C:C,"")</x:f>
        <x:v>Electronics</x:v>
      </x:c>
    </x:row>
    <x:row r="116">
      <x:c r="A116" s="15" t="str">
        <x:v>ITEM00048_2</x:v>
      </x:c>
      <x:c r="B116" s="15" t="str">
        <x:v>ORD00048</x:v>
      </x:c>
      <x:c r="C116" s="15" t="str">
        <x:v>PROD036</x:v>
      </x:c>
      <x:c r="D116" s="15" t="n">
        <x:v>2</x:v>
      </x:c>
      <x:c r="E116" s="15" t="n">
        <x:v>7158.64</x:v>
      </x:c>
      <x:c r="F116" s="15" t="n">
        <x:v>0.15</x:v>
      </x:c>
      <x:c r="G116" s="15" t="n">
        <x:v>14317.28</x:v>
      </x:c>
      <x:c r="H116" s="15" t="n">
        <x:v>12169.69</x:v>
      </x:c>
      <x:c r="I116" s="15" t="n">
        <x:v>10342</x:v>
      </x:c>
      <x:c r="J116" s="15" t="n">
        <x:v>1827.69</x:v>
      </x:c>
      <x:c r="K116" t="str">
        <x:f>XLOOKUP(B116,Orders!A:A,Orders!E:E,"")</x:f>
        <x:v>South</x:v>
      </x:c>
      <x:c r="L116" t="n">
        <x:f>XLOOKUP(B116,Orders!A:A,Orders!B:B,"")</x:f>
        <x:v>46064</x:v>
      </x:c>
      <x:c r="M116" t="str">
        <x:f>XLOOKUP(C116,Products!A:A,Products!C:C,"")</x:f>
        <x:v>Accessories</x:v>
      </x:c>
    </x:row>
    <x:row r="117">
      <x:c r="A117" s="15" t="str">
        <x:v>ITEM00048_3</x:v>
      </x:c>
      <x:c r="B117" s="15" t="str">
        <x:v>ORD00048</x:v>
      </x:c>
      <x:c r="C117" s="15" t="str">
        <x:v>PROD036</x:v>
      </x:c>
      <x:c r="D117" s="15" t="n">
        <x:v>7</x:v>
      </x:c>
      <x:c r="E117" s="15" t="n">
        <x:v>7158.64</x:v>
      </x:c>
      <x:c r="F117" s="15" t="n">
        <x:v>0</x:v>
      </x:c>
      <x:c r="G117" s="15" t="n">
        <x:v>50110.48</x:v>
      </x:c>
      <x:c r="H117" s="15" t="n">
        <x:v>50110.48</x:v>
      </x:c>
      <x:c r="I117" s="15" t="n">
        <x:v>36197</x:v>
      </x:c>
      <x:c r="J117" s="15" t="n">
        <x:v>13913.48</x:v>
      </x:c>
      <x:c r="K117" t="str">
        <x:f>XLOOKUP(B117,Orders!A:A,Orders!E:E,"")</x:f>
        <x:v>South</x:v>
      </x:c>
      <x:c r="L117" t="n">
        <x:f>XLOOKUP(B117,Orders!A:A,Orders!B:B,"")</x:f>
        <x:v>46064</x:v>
      </x:c>
      <x:c r="M117" t="str">
        <x:f>XLOOKUP(C117,Products!A:A,Products!C:C,"")</x:f>
        <x:v>Accessories</x:v>
      </x:c>
    </x:row>
    <x:row r="118">
      <x:c r="A118" s="15" t="str">
        <x:v>ITEM00049_1</x:v>
      </x:c>
      <x:c r="B118" s="15" t="str">
        <x:v>ORD00049</x:v>
      </x:c>
      <x:c r="C118" s="15" t="str">
        <x:v>PROD016</x:v>
      </x:c>
      <x:c r="D118" s="15" t="n">
        <x:v>7</x:v>
      </x:c>
      <x:c r="E118" s="15" t="n">
        <x:v>3884.33</x:v>
      </x:c>
      <x:c r="F118" s="15" t="n">
        <x:v>0</x:v>
      </x:c>
      <x:c r="G118" s="15" t="n">
        <x:v>27190.31</x:v>
      </x:c>
      <x:c r="H118" s="15" t="n">
        <x:v>27190.31</x:v>
      </x:c>
      <x:c r="I118" s="15" t="n">
        <x:v>21329</x:v>
      </x:c>
      <x:c r="J118" s="15" t="n">
        <x:v>5861.31</x:v>
      </x:c>
      <x:c r="K118" t="str">
        <x:f>XLOOKUP(B118,Orders!A:A,Orders!E:E,"")</x:f>
        <x:v>West</x:v>
      </x:c>
      <x:c r="L118" t="n">
        <x:f>XLOOKUP(B118,Orders!A:A,Orders!B:B,"")</x:f>
        <x:v>45975</x:v>
      </x:c>
      <x:c r="M118" t="str">
        <x:f>XLOOKUP(C118,Products!A:A,Products!C:C,"")</x:f>
        <x:v>Electronics</x:v>
      </x:c>
    </x:row>
    <x:row r="119">
      <x:c r="A119" s="15" t="str">
        <x:v>ITEM00049_2</x:v>
      </x:c>
      <x:c r="B119" s="15" t="str">
        <x:v>ORD00049</x:v>
      </x:c>
      <x:c r="C119" s="15" t="str">
        <x:v>PROD031</x:v>
      </x:c>
      <x:c r="D119" s="15" t="n">
        <x:v>2</x:v>
      </x:c>
      <x:c r="E119" s="15" t="n">
        <x:v>3371.81</x:v>
      </x:c>
      <x:c r="F119" s="15" t="n">
        <x:v>0</x:v>
      </x:c>
      <x:c r="G119" s="15" t="n">
        <x:v>6743.62</x:v>
      </x:c>
      <x:c r="H119" s="15" t="n">
        <x:v>6743.62</x:v>
      </x:c>
      <x:c r="I119" s="15" t="n">
        <x:v>5594</x:v>
      </x:c>
      <x:c r="J119" s="15" t="n">
        <x:v>1149.62</x:v>
      </x:c>
      <x:c r="K119" t="str">
        <x:f>XLOOKUP(B119,Orders!A:A,Orders!E:E,"")</x:f>
        <x:v>West</x:v>
      </x:c>
      <x:c r="L119" t="n">
        <x:f>XLOOKUP(B119,Orders!A:A,Orders!B:B,"")</x:f>
        <x:v>45975</x:v>
      </x:c>
      <x:c r="M119" t="str">
        <x:f>XLOOKUP(C119,Products!A:A,Products!C:C,"")</x:f>
        <x:v>Furniture</x:v>
      </x:c>
    </x:row>
    <x:row r="120">
      <x:c r="A120" s="15" t="str">
        <x:v>ITEM00049_3</x:v>
      </x:c>
      <x:c r="B120" s="15" t="str">
        <x:v>ORD00049</x:v>
      </x:c>
      <x:c r="C120" s="15" t="str">
        <x:v>PROD032</x:v>
      </x:c>
      <x:c r="D120" s="15" t="n">
        <x:v>2</x:v>
      </x:c>
      <x:c r="E120" s="15" t="n">
        <x:v>6307.06</x:v>
      </x:c>
      <x:c r="F120" s="15" t="n">
        <x:v>0</x:v>
      </x:c>
      <x:c r="G120" s="15" t="n">
        <x:v>12614.12</x:v>
      </x:c>
      <x:c r="H120" s="15" t="n">
        <x:v>12614.12</x:v>
      </x:c>
      <x:c r="I120" s="15" t="n">
        <x:v>10154</x:v>
      </x:c>
      <x:c r="J120" s="15" t="n">
        <x:v>2460.12</x:v>
      </x:c>
      <x:c r="K120" t="str">
        <x:f>XLOOKUP(B120,Orders!A:A,Orders!E:E,"")</x:f>
        <x:v>West</x:v>
      </x:c>
      <x:c r="L120" t="n">
        <x:f>XLOOKUP(B120,Orders!A:A,Orders!B:B,"")</x:f>
        <x:v>45975</x:v>
      </x:c>
      <x:c r="M120" t="str">
        <x:f>XLOOKUP(C120,Products!A:A,Products!C:C,"")</x:f>
        <x:v>Electronics</x:v>
      </x:c>
    </x:row>
    <x:row r="121">
      <x:c r="A121" s="15" t="str">
        <x:v>ITEM00050_1</x:v>
      </x:c>
      <x:c r="B121" s="15" t="str">
        <x:v>ORD00050</x:v>
      </x:c>
      <x:c r="C121" s="15" t="str">
        <x:v>PROD015</x:v>
      </x:c>
      <x:c r="D121" s="15" t="n">
        <x:v>2</x:v>
      </x:c>
      <x:c r="E121" s="15" t="n">
        <x:v>5903.1</x:v>
      </x:c>
      <x:c r="F121" s="15" t="n">
        <x:v>0.05</x:v>
      </x:c>
      <x:c r="G121" s="15" t="n">
        <x:v>11806.2</x:v>
      </x:c>
      <x:c r="H121" s="15" t="n">
        <x:v>11215.89</x:v>
      </x:c>
      <x:c r="I121" s="15" t="n">
        <x:v>9570</x:v>
      </x:c>
      <x:c r="J121" s="15" t="n">
        <x:v>1645.89</x:v>
      </x:c>
      <x:c r="K121" t="str">
        <x:f>XLOOKUP(B121,Orders!A:A,Orders!E:E,"")</x:f>
        <x:v>North</x:v>
      </x:c>
      <x:c r="L121" t="n">
        <x:f>XLOOKUP(B121,Orders!A:A,Orders!B:B,"")</x:f>
        <x:v>45877</x:v>
      </x:c>
      <x:c r="M121" t="str">
        <x:f>XLOOKUP(C121,Products!A:A,Products!C:C,"")</x:f>
        <x:v>Electronics</x:v>
      </x:c>
    </x:row>
    <x:row r="122">
      <x:c r="A122" s="15" t="str">
        <x:v>ITEM00051_1</x:v>
      </x:c>
      <x:c r="B122" s="15" t="str">
        <x:v>ORD00051</x:v>
      </x:c>
      <x:c r="C122" s="15" t="str">
        <x:v>PROD017</x:v>
      </x:c>
      <x:c r="D122" s="15" t="n">
        <x:v>8</x:v>
      </x:c>
      <x:c r="E122" s="15" t="n">
        <x:v>7311.62</x:v>
      </x:c>
      <x:c r="F122" s="15" t="n">
        <x:v>0</x:v>
      </x:c>
      <x:c r="G122" s="15" t="n">
        <x:v>58492.96</x:v>
      </x:c>
      <x:c r="H122" s="15" t="n">
        <x:v>58492.96</x:v>
      </x:c>
      <x:c r="I122" s="15" t="n">
        <x:v>42064</x:v>
      </x:c>
      <x:c r="J122" s="15" t="n">
        <x:v>16428.96</x:v>
      </x:c>
      <x:c r="K122" t="str">
        <x:f>XLOOKUP(B122,Orders!A:A,Orders!E:E,"")</x:f>
        <x:v>East</x:v>
      </x:c>
      <x:c r="L122" t="n">
        <x:f>XLOOKUP(B122,Orders!A:A,Orders!B:B,"")</x:f>
        <x:v>45866</x:v>
      </x:c>
      <x:c r="M122" t="str">
        <x:f>XLOOKUP(C122,Products!A:A,Products!C:C,"")</x:f>
        <x:v>Accessories</x:v>
      </x:c>
    </x:row>
    <x:row r="123">
      <x:c r="A123" s="15" t="str">
        <x:v>ITEM00051_2</x:v>
      </x:c>
      <x:c r="B123" s="15" t="str">
        <x:v>ORD00051</x:v>
      </x:c>
      <x:c r="C123" s="15" t="str">
        <x:v>PROD024</x:v>
      </x:c>
      <x:c r="D123" s="15" t="n">
        <x:v>2</x:v>
      </x:c>
      <x:c r="E123" s="15" t="n">
        <x:v>4018</x:v>
      </x:c>
      <x:c r="F123" s="15" t="n">
        <x:v>0.05</x:v>
      </x:c>
      <x:c r="G123" s="15" t="n">
        <x:v>8036</x:v>
      </x:c>
      <x:c r="H123" s="15" t="n">
        <x:v>7634.2</x:v>
      </x:c>
      <x:c r="I123" s="15" t="n">
        <x:v>6384</x:v>
      </x:c>
      <x:c r="J123" s="15" t="n">
        <x:v>1250.2</x:v>
      </x:c>
      <x:c r="K123" t="str">
        <x:f>XLOOKUP(B123,Orders!A:A,Orders!E:E,"")</x:f>
        <x:v>East</x:v>
      </x:c>
      <x:c r="L123" t="n">
        <x:f>XLOOKUP(B123,Orders!A:A,Orders!B:B,"")</x:f>
        <x:v>45866</x:v>
      </x:c>
      <x:c r="M123" t="str">
        <x:f>XLOOKUP(C123,Products!A:A,Products!C:C,"")</x:f>
        <x:v>Furniture</x:v>
      </x:c>
    </x:row>
    <x:row r="124">
      <x:c r="A124" s="15" t="str">
        <x:v>ITEM00051_3</x:v>
      </x:c>
      <x:c r="B124" s="15" t="str">
        <x:v>ORD00051</x:v>
      </x:c>
      <x:c r="C124" s="15" t="str">
        <x:v>PROD027</x:v>
      </x:c>
      <x:c r="D124" s="15" t="n">
        <x:v>3</x:v>
      </x:c>
      <x:c r="E124" s="15" t="n">
        <x:v>6979.71</x:v>
      </x:c>
      <x:c r="F124" s="15" t="n">
        <x:v>0.05</x:v>
      </x:c>
      <x:c r="G124" s="15" t="n">
        <x:v>20939.13</x:v>
      </x:c>
      <x:c r="H124" s="15" t="n">
        <x:v>19892.17</x:v>
      </x:c>
      <x:c r="I124" s="15" t="n">
        <x:v>16911</x:v>
      </x:c>
      <x:c r="J124" s="15" t="n">
        <x:v>2981.17</x:v>
      </x:c>
      <x:c r="K124" t="str">
        <x:f>XLOOKUP(B124,Orders!A:A,Orders!E:E,"")</x:f>
        <x:v>East</x:v>
      </x:c>
      <x:c r="L124" t="n">
        <x:f>XLOOKUP(B124,Orders!A:A,Orders!B:B,"")</x:f>
        <x:v>45866</x:v>
      </x:c>
      <x:c r="M124" t="str">
        <x:f>XLOOKUP(C124,Products!A:A,Products!C:C,"")</x:f>
        <x:v>Electronics</x:v>
      </x:c>
    </x:row>
    <x:row r="125">
      <x:c r="A125" s="15" t="str">
        <x:v>ITEM00052_1</x:v>
      </x:c>
      <x:c r="B125" s="15" t="str">
        <x:v>ORD00052</x:v>
      </x:c>
      <x:c r="C125" s="15" t="str">
        <x:v>PROD021</x:v>
      </x:c>
      <x:c r="D125" s="15" t="n">
        <x:v>1</x:v>
      </x:c>
      <x:c r="E125" s="15" t="n">
        <x:v>6748.85</x:v>
      </x:c>
      <x:c r="F125" s="15" t="n">
        <x:v>0.05</x:v>
      </x:c>
      <x:c r="G125" s="15" t="n">
        <x:v>6748.85</x:v>
      </x:c>
      <x:c r="H125" s="15" t="n">
        <x:v>6411.41</x:v>
      </x:c>
      <x:c r="I125" s="15" t="n">
        <x:v>4999</x:v>
      </x:c>
      <x:c r="J125" s="15" t="n">
        <x:v>1412.41</x:v>
      </x:c>
      <x:c r="K125" t="str">
        <x:f>XLOOKUP(B125,Orders!A:A,Orders!E:E,"")</x:f>
        <x:v>North</x:v>
      </x:c>
      <x:c r="L125" t="n">
        <x:f>XLOOKUP(B125,Orders!A:A,Orders!B:B,"")</x:f>
        <x:v>45755</x:v>
      </x:c>
      <x:c r="M125" t="str">
        <x:f>XLOOKUP(C125,Products!A:A,Products!C:C,"")</x:f>
        <x:v>Electronics</x:v>
      </x:c>
    </x:row>
    <x:row r="126">
      <x:c r="A126" s="15" t="str">
        <x:v>ITEM00052_2</x:v>
      </x:c>
      <x:c r="B126" s="15" t="str">
        <x:v>ORD00052</x:v>
      </x:c>
      <x:c r="C126" s="15" t="str">
        <x:v>PROD039</x:v>
      </x:c>
      <x:c r="D126" s="15" t="n">
        <x:v>1</x:v>
      </x:c>
      <x:c r="E126" s="15" t="n">
        <x:v>5945.62</x:v>
      </x:c>
      <x:c r="F126" s="15" t="n">
        <x:v>0</x:v>
      </x:c>
      <x:c r="G126" s="15" t="n">
        <x:v>5945.62</x:v>
      </x:c>
      <x:c r="H126" s="15" t="n">
        <x:v>5945.62</x:v>
      </x:c>
      <x:c r="I126" s="15" t="n">
        <x:v>4573</x:v>
      </x:c>
      <x:c r="J126" s="15" t="n">
        <x:v>1372.62</x:v>
      </x:c>
      <x:c r="K126" t="str">
        <x:f>XLOOKUP(B126,Orders!A:A,Orders!E:E,"")</x:f>
        <x:v>North</x:v>
      </x:c>
      <x:c r="L126" t="n">
        <x:f>XLOOKUP(B126,Orders!A:A,Orders!B:B,"")</x:f>
        <x:v>45755</x:v>
      </x:c>
      <x:c r="M126" t="str">
        <x:f>XLOOKUP(C126,Products!A:A,Products!C:C,"")</x:f>
        <x:v>Office Supplies</x:v>
      </x:c>
    </x:row>
    <x:row r="127">
      <x:c r="A127" s="15" t="str">
        <x:v>ITEM00053_1</x:v>
      </x:c>
      <x:c r="B127" s="15" t="str">
        <x:v>ORD00053</x:v>
      </x:c>
      <x:c r="C127" s="15" t="str">
        <x:v>PROD022</x:v>
      </x:c>
      <x:c r="D127" s="15" t="n">
        <x:v>6</x:v>
      </x:c>
      <x:c r="E127" s="15" t="n">
        <x:v>7775.36</x:v>
      </x:c>
      <x:c r="F127" s="15" t="n">
        <x:v>0.1</x:v>
      </x:c>
      <x:c r="G127" s="15" t="n">
        <x:v>46652.16</x:v>
      </x:c>
      <x:c r="H127" s="15" t="n">
        <x:v>41986.94</x:v>
      </x:c>
      <x:c r="I127" s="15" t="n">
        <x:v>37986</x:v>
      </x:c>
      <x:c r="J127" s="15" t="n">
        <x:v>4000.94</x:v>
      </x:c>
      <x:c r="K127" t="str">
        <x:f>XLOOKUP(B127,Orders!A:A,Orders!E:E,"")</x:f>
        <x:v>West</x:v>
      </x:c>
      <x:c r="L127" t="n">
        <x:f>XLOOKUP(B127,Orders!A:A,Orders!B:B,"")</x:f>
        <x:v>45806</x:v>
      </x:c>
      <x:c r="M127" t="str">
        <x:f>XLOOKUP(C127,Products!A:A,Products!C:C,"")</x:f>
        <x:v>Furniture</x:v>
      </x:c>
    </x:row>
    <x:row r="128">
      <x:c r="A128" s="15" t="str">
        <x:v>ITEM00053_2</x:v>
      </x:c>
      <x:c r="B128" s="15" t="str">
        <x:v>ORD00053</x:v>
      </x:c>
      <x:c r="C128" s="15" t="str">
        <x:v>PROD035</x:v>
      </x:c>
      <x:c r="D128" s="15" t="n">
        <x:v>5</x:v>
      </x:c>
      <x:c r="E128" s="15" t="n">
        <x:v>3972.26</x:v>
      </x:c>
      <x:c r="F128" s="15" t="n">
        <x:v>0.1</x:v>
      </x:c>
      <x:c r="G128" s="15" t="n">
        <x:v>19861.3</x:v>
      </x:c>
      <x:c r="H128" s="15" t="n">
        <x:v>17875.17</x:v>
      </x:c>
      <x:c r="I128" s="15" t="n">
        <x:v>15935</x:v>
      </x:c>
      <x:c r="J128" s="15" t="n">
        <x:v>1940.17</x:v>
      </x:c>
      <x:c r="K128" t="str">
        <x:f>XLOOKUP(B128,Orders!A:A,Orders!E:E,"")</x:f>
        <x:v>West</x:v>
      </x:c>
      <x:c r="L128" t="n">
        <x:f>XLOOKUP(B128,Orders!A:A,Orders!B:B,"")</x:f>
        <x:v>45806</x:v>
      </x:c>
      <x:c r="M128" t="str">
        <x:f>XLOOKUP(C128,Products!A:A,Products!C:C,"")</x:f>
        <x:v>Electronics</x:v>
      </x:c>
    </x:row>
    <x:row r="129">
      <x:c r="A129" s="15" t="str">
        <x:v>ITEM00053_3</x:v>
      </x:c>
      <x:c r="B129" s="15" t="str">
        <x:v>ORD00053</x:v>
      </x:c>
      <x:c r="C129" s="15" t="str">
        <x:v>PROD033</x:v>
      </x:c>
      <x:c r="D129" s="15" t="n">
        <x:v>5</x:v>
      </x:c>
      <x:c r="E129" s="15" t="n">
        <x:v>3912.41</x:v>
      </x:c>
      <x:c r="F129" s="15" t="n">
        <x:v>0</x:v>
      </x:c>
      <x:c r="G129" s="15" t="n">
        <x:v>19562.05</x:v>
      </x:c>
      <x:c r="H129" s="15" t="n">
        <x:v>19562.05</x:v>
      </x:c>
      <x:c r="I129" s="15" t="n">
        <x:v>14955</x:v>
      </x:c>
      <x:c r="J129" s="15" t="n">
        <x:v>4607.05</x:v>
      </x:c>
      <x:c r="K129" t="str">
        <x:f>XLOOKUP(B129,Orders!A:A,Orders!E:E,"")</x:f>
        <x:v>West</x:v>
      </x:c>
      <x:c r="L129" t="n">
        <x:f>XLOOKUP(B129,Orders!A:A,Orders!B:B,"")</x:f>
        <x:v>45806</x:v>
      </x:c>
      <x:c r="M129" t="str">
        <x:f>XLOOKUP(C129,Products!A:A,Products!C:C,"")</x:f>
        <x:v>Furniture</x:v>
      </x:c>
    </x:row>
    <x:row r="130">
      <x:c r="A130" s="15" t="str">
        <x:v>ITEM00054_1</x:v>
      </x:c>
      <x:c r="B130" s="15" t="str">
        <x:v>ORD00054</x:v>
      </x:c>
      <x:c r="C130" s="15" t="str">
        <x:v>PROD003</x:v>
      </x:c>
      <x:c r="D130" s="15" t="n">
        <x:v>7</x:v>
      </x:c>
      <x:c r="E130" s="15" t="n">
        <x:v>10757.89</x:v>
      </x:c>
      <x:c r="F130" s="15" t="n">
        <x:v>0.1</x:v>
      </x:c>
      <x:c r="G130" s="15" t="n">
        <x:v>75305.23</x:v>
      </x:c>
      <x:c r="H130" s="15" t="n">
        <x:v>67774.71</x:v>
      </x:c>
      <x:c r="I130" s="15" t="n">
        <x:v>51947</x:v>
      </x:c>
      <x:c r="J130" s="15" t="n">
        <x:v>15827.71</x:v>
      </x:c>
      <x:c r="K130" t="str">
        <x:f>XLOOKUP(B130,Orders!A:A,Orders!E:E,"")</x:f>
        <x:v>South</x:v>
      </x:c>
      <x:c r="L130" t="n">
        <x:f>XLOOKUP(B130,Orders!A:A,Orders!B:B,"")</x:f>
        <x:v>45904</x:v>
      </x:c>
      <x:c r="M130" t="str">
        <x:f>XLOOKUP(C130,Products!A:A,Products!C:C,"")</x:f>
        <x:v>Accessories</x:v>
      </x:c>
    </x:row>
    <x:row r="131">
      <x:c r="A131" s="15" t="str">
        <x:v>ITEM00055_1</x:v>
      </x:c>
      <x:c r="B131" s="15" t="str">
        <x:v>ORD00055</x:v>
      </x:c>
      <x:c r="C131" s="15" t="str">
        <x:v>PROD001</x:v>
      </x:c>
      <x:c r="D131" s="15" t="n">
        <x:v>8</x:v>
      </x:c>
      <x:c r="E131" s="15" t="n">
        <x:v>8672.7</x:v>
      </x:c>
      <x:c r="F131" s="15" t="n">
        <x:v>0.05</x:v>
      </x:c>
      <x:c r="G131" s="15" t="n">
        <x:v>69381.6</x:v>
      </x:c>
      <x:c r="H131" s="15" t="n">
        <x:v>65912.52</x:v>
      </x:c>
      <x:c r="I131" s="15" t="n">
        <x:v>49304</x:v>
      </x:c>
      <x:c r="J131" s="15" t="n">
        <x:v>16608.52</x:v>
      </x:c>
      <x:c r="K131" t="str">
        <x:f>XLOOKUP(B131,Orders!A:A,Orders!E:E,"")</x:f>
        <x:v>South</x:v>
      </x:c>
      <x:c r="L131" t="n">
        <x:f>XLOOKUP(B131,Orders!A:A,Orders!B:B,"")</x:f>
        <x:v>45838</x:v>
      </x:c>
      <x:c r="M131" t="str">
        <x:f>XLOOKUP(C131,Products!A:A,Products!C:C,"")</x:f>
        <x:v>Office Supplies</x:v>
      </x:c>
    </x:row>
    <x:row r="132">
      <x:c r="A132" s="15" t="str">
        <x:v>ITEM00056_1</x:v>
      </x:c>
      <x:c r="B132" s="15" t="str">
        <x:v>ORD00056</x:v>
      </x:c>
      <x:c r="C132" s="15" t="str">
        <x:v>PROD001</x:v>
      </x:c>
      <x:c r="D132" s="15" t="n">
        <x:v>7</x:v>
      </x:c>
      <x:c r="E132" s="15" t="n">
        <x:v>8672.7</x:v>
      </x:c>
      <x:c r="F132" s="15" t="n">
        <x:v>0.15</x:v>
      </x:c>
      <x:c r="G132" s="15" t="n">
        <x:v>60708.9</x:v>
      </x:c>
      <x:c r="H132" s="15" t="n">
        <x:v>51602.57</x:v>
      </x:c>
      <x:c r="I132" s="15" t="n">
        <x:v>43141</x:v>
      </x:c>
      <x:c r="J132" s="15" t="n">
        <x:v>8461.57</x:v>
      </x:c>
      <x:c r="K132" t="str">
        <x:f>XLOOKUP(B132,Orders!A:A,Orders!E:E,"")</x:f>
        <x:v>East</x:v>
      </x:c>
      <x:c r="L132" t="n">
        <x:f>XLOOKUP(B132,Orders!A:A,Orders!B:B,"")</x:f>
        <x:v>46192</x:v>
      </x:c>
      <x:c r="M132" t="str">
        <x:f>XLOOKUP(C132,Products!A:A,Products!C:C,"")</x:f>
        <x:v>Office Supplies</x:v>
      </x:c>
    </x:row>
    <x:row r="133">
      <x:c r="A133" s="15" t="str">
        <x:v>ITEM00056_2</x:v>
      </x:c>
      <x:c r="B133" s="15" t="str">
        <x:v>ORD00056</x:v>
      </x:c>
      <x:c r="C133" s="15" t="str">
        <x:v>PROD021</x:v>
      </x:c>
      <x:c r="D133" s="15" t="n">
        <x:v>5</x:v>
      </x:c>
      <x:c r="E133" s="15" t="n">
        <x:v>6748.85</x:v>
      </x:c>
      <x:c r="F133" s="15" t="n">
        <x:v>0.05</x:v>
      </x:c>
      <x:c r="G133" s="15" t="n">
        <x:v>33744.25</x:v>
      </x:c>
      <x:c r="H133" s="15" t="n">
        <x:v>32057.04</x:v>
      </x:c>
      <x:c r="I133" s="15" t="n">
        <x:v>24995</x:v>
      </x:c>
      <x:c r="J133" s="15" t="n">
        <x:v>7062.04</x:v>
      </x:c>
      <x:c r="K133" t="str">
        <x:f>XLOOKUP(B133,Orders!A:A,Orders!E:E,"")</x:f>
        <x:v>East</x:v>
      </x:c>
      <x:c r="L133" t="n">
        <x:f>XLOOKUP(B133,Orders!A:A,Orders!B:B,"")</x:f>
        <x:v>46192</x:v>
      </x:c>
      <x:c r="M133" t="str">
        <x:f>XLOOKUP(C133,Products!A:A,Products!C:C,"")</x:f>
        <x:v>Electronics</x:v>
      </x:c>
    </x:row>
    <x:row r="134">
      <x:c r="A134" s="15" t="str">
        <x:v>ITEM00057_1</x:v>
      </x:c>
      <x:c r="B134" s="15" t="str">
        <x:v>ORD00057</x:v>
      </x:c>
      <x:c r="C134" s="15" t="str">
        <x:v>PROD037</x:v>
      </x:c>
      <x:c r="D134" s="15" t="n">
        <x:v>8</x:v>
      </x:c>
      <x:c r="E134" s="15" t="n">
        <x:v>9876.8</x:v>
      </x:c>
      <x:c r="F134" s="15" t="n">
        <x:v>0.1</x:v>
      </x:c>
      <x:c r="G134" s="15" t="n">
        <x:v>79014.4</x:v>
      </x:c>
      <x:c r="H134" s="15" t="n">
        <x:v>71112.96</x:v>
      </x:c>
      <x:c r="I134" s="15" t="n">
        <x:v>56992</x:v>
      </x:c>
      <x:c r="J134" s="15" t="n">
        <x:v>14120.96</x:v>
      </x:c>
      <x:c r="K134" t="str">
        <x:f>XLOOKUP(B134,Orders!A:A,Orders!E:E,"")</x:f>
        <x:v>South</x:v>
      </x:c>
      <x:c r="L134" t="n">
        <x:f>XLOOKUP(B134,Orders!A:A,Orders!B:B,"")</x:f>
        <x:v>45999</x:v>
      </x:c>
      <x:c r="M134" t="str">
        <x:f>XLOOKUP(C134,Products!A:A,Products!C:C,"")</x:f>
        <x:v>Accessories</x:v>
      </x:c>
    </x:row>
    <x:row r="135">
      <x:c r="A135" s="15" t="str">
        <x:v>ITEM00057_2</x:v>
      </x:c>
      <x:c r="B135" s="15" t="str">
        <x:v>ORD00057</x:v>
      </x:c>
      <x:c r="C135" s="15" t="str">
        <x:v>PROD024</x:v>
      </x:c>
      <x:c r="D135" s="15" t="n">
        <x:v>2</x:v>
      </x:c>
      <x:c r="E135" s="15" t="n">
        <x:v>4018</x:v>
      </x:c>
      <x:c r="F135" s="15" t="n">
        <x:v>0</x:v>
      </x:c>
      <x:c r="G135" s="15" t="n">
        <x:v>8036</x:v>
      </x:c>
      <x:c r="H135" s="15" t="n">
        <x:v>8036</x:v>
      </x:c>
      <x:c r="I135" s="15" t="n">
        <x:v>6384</x:v>
      </x:c>
      <x:c r="J135" s="15" t="n">
        <x:v>1652</x:v>
      </x:c>
      <x:c r="K135" t="str">
        <x:f>XLOOKUP(B135,Orders!A:A,Orders!E:E,"")</x:f>
        <x:v>South</x:v>
      </x:c>
      <x:c r="L135" t="n">
        <x:f>XLOOKUP(B135,Orders!A:A,Orders!B:B,"")</x:f>
        <x:v>45999</x:v>
      </x:c>
      <x:c r="M135" t="str">
        <x:f>XLOOKUP(C135,Products!A:A,Products!C:C,"")</x:f>
        <x:v>Furniture</x:v>
      </x:c>
    </x:row>
    <x:row r="136">
      <x:c r="A136" s="15" t="str">
        <x:v>ITEM00057_3</x:v>
      </x:c>
      <x:c r="B136" s="15" t="str">
        <x:v>ORD00057</x:v>
      </x:c>
      <x:c r="C136" s="15" t="str">
        <x:v>PROD024</x:v>
      </x:c>
      <x:c r="D136" s="15" t="n">
        <x:v>6</x:v>
      </x:c>
      <x:c r="E136" s="15" t="n">
        <x:v>4018</x:v>
      </x:c>
      <x:c r="F136" s="15" t="n">
        <x:v>0.05</x:v>
      </x:c>
      <x:c r="G136" s="15" t="n">
        <x:v>24108</x:v>
      </x:c>
      <x:c r="H136" s="15" t="n">
        <x:v>22902.6</x:v>
      </x:c>
      <x:c r="I136" s="15" t="n">
        <x:v>19152</x:v>
      </x:c>
      <x:c r="J136" s="15" t="n">
        <x:v>3750.6</x:v>
      </x:c>
      <x:c r="K136" t="str">
        <x:f>XLOOKUP(B136,Orders!A:A,Orders!E:E,"")</x:f>
        <x:v>South</x:v>
      </x:c>
      <x:c r="L136" t="n">
        <x:f>XLOOKUP(B136,Orders!A:A,Orders!B:B,"")</x:f>
        <x:v>45999</x:v>
      </x:c>
      <x:c r="M136" t="str">
        <x:f>XLOOKUP(C136,Products!A:A,Products!C:C,"")</x:f>
        <x:v>Furniture</x:v>
      </x:c>
    </x:row>
    <x:row r="137">
      <x:c r="A137" s="15" t="str">
        <x:v>ITEM00057_4</x:v>
      </x:c>
      <x:c r="B137" s="15" t="str">
        <x:v>ORD00057</x:v>
      </x:c>
      <x:c r="C137" s="15" t="str">
        <x:v>PROD020</x:v>
      </x:c>
      <x:c r="D137" s="15" t="n">
        <x:v>6</x:v>
      </x:c>
      <x:c r="E137" s="15" t="n">
        <x:v>6564.04</x:v>
      </x:c>
      <x:c r="F137" s="15" t="n">
        <x:v>0</x:v>
      </x:c>
      <x:c r="G137" s="15" t="n">
        <x:v>39384.24</x:v>
      </x:c>
      <x:c r="H137" s="15" t="n">
        <x:v>39384.24</x:v>
      </x:c>
      <x:c r="I137" s="15" t="n">
        <x:v>27510</x:v>
      </x:c>
      <x:c r="J137" s="15" t="n">
        <x:v>11874.24</x:v>
      </x:c>
      <x:c r="K137" t="str">
        <x:f>XLOOKUP(B137,Orders!A:A,Orders!E:E,"")</x:f>
        <x:v>South</x:v>
      </x:c>
      <x:c r="L137" t="n">
        <x:f>XLOOKUP(B137,Orders!A:A,Orders!B:B,"")</x:f>
        <x:v>45999</x:v>
      </x:c>
      <x:c r="M137" t="str">
        <x:f>XLOOKUP(C137,Products!A:A,Products!C:C,"")</x:f>
        <x:v>Accessories</x:v>
      </x:c>
    </x:row>
    <x:row r="138">
      <x:c r="A138" s="15" t="str">
        <x:v>ITEM00058_1</x:v>
      </x:c>
      <x:c r="B138" s="15" t="str">
        <x:v>ORD00058</x:v>
      </x:c>
      <x:c r="C138" s="15" t="str">
        <x:v>PROD032</x:v>
      </x:c>
      <x:c r="D138" s="15" t="n">
        <x:v>4</x:v>
      </x:c>
      <x:c r="E138" s="15" t="n">
        <x:v>6307.06</x:v>
      </x:c>
      <x:c r="F138" s="15" t="n">
        <x:v>0</x:v>
      </x:c>
      <x:c r="G138" s="15" t="n">
        <x:v>25228.24</x:v>
      </x:c>
      <x:c r="H138" s="15" t="n">
        <x:v>25228.24</x:v>
      </x:c>
      <x:c r="I138" s="15" t="n">
        <x:v>20308</x:v>
      </x:c>
      <x:c r="J138" s="15" t="n">
        <x:v>4920.24</x:v>
      </x:c>
      <x:c r="K138" t="str">
        <x:f>XLOOKUP(B138,Orders!A:A,Orders!E:E,"")</x:f>
        <x:v>South</x:v>
      </x:c>
      <x:c r="L138" t="n">
        <x:f>XLOOKUP(B138,Orders!A:A,Orders!B:B,"")</x:f>
        <x:v>45975</x:v>
      </x:c>
      <x:c r="M138" t="str">
        <x:f>XLOOKUP(C138,Products!A:A,Products!C:C,"")</x:f>
        <x:v>Electronics</x:v>
      </x:c>
    </x:row>
    <x:row r="139">
      <x:c r="A139" s="15" t="str">
        <x:v>ITEM00058_2</x:v>
      </x:c>
      <x:c r="B139" s="15" t="str">
        <x:v>ORD00058</x:v>
      </x:c>
      <x:c r="C139" s="15" t="str">
        <x:v>PROD036</x:v>
      </x:c>
      <x:c r="D139" s="15" t="n">
        <x:v>4</x:v>
      </x:c>
      <x:c r="E139" s="15" t="n">
        <x:v>7158.64</x:v>
      </x:c>
      <x:c r="F139" s="15" t="n">
        <x:v>0</x:v>
      </x:c>
      <x:c r="G139" s="15" t="n">
        <x:v>28634.56</x:v>
      </x:c>
      <x:c r="H139" s="15" t="n">
        <x:v>28634.56</x:v>
      </x:c>
      <x:c r="I139" s="15" t="n">
        <x:v>20684</x:v>
      </x:c>
      <x:c r="J139" s="15" t="n">
        <x:v>7950.56</x:v>
      </x:c>
      <x:c r="K139" t="str">
        <x:f>XLOOKUP(B139,Orders!A:A,Orders!E:E,"")</x:f>
        <x:v>South</x:v>
      </x:c>
      <x:c r="L139" t="n">
        <x:f>XLOOKUP(B139,Orders!A:A,Orders!B:B,"")</x:f>
        <x:v>45975</x:v>
      </x:c>
      <x:c r="M139" t="str">
        <x:f>XLOOKUP(C139,Products!A:A,Products!C:C,"")</x:f>
        <x:v>Accessories</x:v>
      </x:c>
    </x:row>
    <x:row r="140">
      <x:c r="A140" s="15" t="str">
        <x:v>ITEM00058_3</x:v>
      </x:c>
      <x:c r="B140" s="15" t="str">
        <x:v>ORD00058</x:v>
      </x:c>
      <x:c r="C140" s="15" t="str">
        <x:v>PROD024</x:v>
      </x:c>
      <x:c r="D140" s="15" t="n">
        <x:v>5</x:v>
      </x:c>
      <x:c r="E140" s="15" t="n">
        <x:v>4018</x:v>
      </x:c>
      <x:c r="F140" s="15" t="n">
        <x:v>0.1</x:v>
      </x:c>
      <x:c r="G140" s="15" t="n">
        <x:v>20090</x:v>
      </x:c>
      <x:c r="H140" s="15" t="n">
        <x:v>18081</x:v>
      </x:c>
      <x:c r="I140" s="15" t="n">
        <x:v>15960</x:v>
      </x:c>
      <x:c r="J140" s="15" t="n">
        <x:v>2121</x:v>
      </x:c>
      <x:c r="K140" t="str">
        <x:f>XLOOKUP(B140,Orders!A:A,Orders!E:E,"")</x:f>
        <x:v>South</x:v>
      </x:c>
      <x:c r="L140" t="n">
        <x:f>XLOOKUP(B140,Orders!A:A,Orders!B:B,"")</x:f>
        <x:v>45975</x:v>
      </x:c>
      <x:c r="M140" t="str">
        <x:f>XLOOKUP(C140,Products!A:A,Products!C:C,"")</x:f>
        <x:v>Furniture</x:v>
      </x:c>
    </x:row>
    <x:row r="141">
      <x:c r="A141" s="15" t="str">
        <x:v>ITEM00059_1</x:v>
      </x:c>
      <x:c r="B141" s="15" t="str">
        <x:v>ORD00059</x:v>
      </x:c>
      <x:c r="C141" s="15" t="str">
        <x:v>PROD013</x:v>
      </x:c>
      <x:c r="D141" s="15" t="n">
        <x:v>4</x:v>
      </x:c>
      <x:c r="E141" s="15" t="n">
        <x:v>7614.02</x:v>
      </x:c>
      <x:c r="F141" s="15" t="n">
        <x:v>0.15</x:v>
      </x:c>
      <x:c r="G141" s="15" t="n">
        <x:v>30456.08</x:v>
      </x:c>
      <x:c r="H141" s="15" t="n">
        <x:v>25887.67</x:v>
      </x:c>
      <x:c r="I141" s="15" t="n">
        <x:v>24308</x:v>
      </x:c>
      <x:c r="J141" s="15" t="n">
        <x:v>1579.67</x:v>
      </x:c>
      <x:c r="K141" t="str">
        <x:f>XLOOKUP(B141,Orders!A:A,Orders!E:E,"")</x:f>
        <x:v>South</x:v>
      </x:c>
      <x:c r="L141" t="n">
        <x:f>XLOOKUP(B141,Orders!A:A,Orders!B:B,"")</x:f>
        <x:v>45690</x:v>
      </x:c>
      <x:c r="M141" t="str">
        <x:f>XLOOKUP(C141,Products!A:A,Products!C:C,"")</x:f>
        <x:v>Furniture</x:v>
      </x:c>
    </x:row>
    <x:row r="142">
      <x:c r="A142" s="15" t="str">
        <x:v>ITEM00059_2</x:v>
      </x:c>
      <x:c r="B142" s="15" t="str">
        <x:v>ORD00059</x:v>
      </x:c>
      <x:c r="C142" s="15" t="str">
        <x:v>PROD033</x:v>
      </x:c>
      <x:c r="D142" s="15" t="n">
        <x:v>4</x:v>
      </x:c>
      <x:c r="E142" s="15" t="n">
        <x:v>3912.41</x:v>
      </x:c>
      <x:c r="F142" s="15" t="n">
        <x:v>0</x:v>
      </x:c>
      <x:c r="G142" s="15" t="n">
        <x:v>15649.64</x:v>
      </x:c>
      <x:c r="H142" s="15" t="n">
        <x:v>15649.64</x:v>
      </x:c>
      <x:c r="I142" s="15" t="n">
        <x:v>11964</x:v>
      </x:c>
      <x:c r="J142" s="15" t="n">
        <x:v>3685.64</x:v>
      </x:c>
      <x:c r="K142" t="str">
        <x:f>XLOOKUP(B142,Orders!A:A,Orders!E:E,"")</x:f>
        <x:v>South</x:v>
      </x:c>
      <x:c r="L142" t="n">
        <x:f>XLOOKUP(B142,Orders!A:A,Orders!B:B,"")</x:f>
        <x:v>45690</x:v>
      </x:c>
      <x:c r="M142" t="str">
        <x:f>XLOOKUP(C142,Products!A:A,Products!C:C,"")</x:f>
        <x:v>Furniture</x:v>
      </x:c>
    </x:row>
    <x:row r="143">
      <x:c r="A143" s="15" t="str">
        <x:v>ITEM00059_3</x:v>
      </x:c>
      <x:c r="B143" s="15" t="str">
        <x:v>ORD00059</x:v>
      </x:c>
      <x:c r="C143" s="15" t="str">
        <x:v>PROD015</x:v>
      </x:c>
      <x:c r="D143" s="15" t="n">
        <x:v>5</x:v>
      </x:c>
      <x:c r="E143" s="15" t="n">
        <x:v>5903.1</x:v>
      </x:c>
      <x:c r="F143" s="15" t="n">
        <x:v>0.1</x:v>
      </x:c>
      <x:c r="G143" s="15" t="n">
        <x:v>29515.5</x:v>
      </x:c>
      <x:c r="H143" s="15" t="n">
        <x:v>26563.95</x:v>
      </x:c>
      <x:c r="I143" s="15" t="n">
        <x:v>23925</x:v>
      </x:c>
      <x:c r="J143" s="15" t="n">
        <x:v>2638.95</x:v>
      </x:c>
      <x:c r="K143" t="str">
        <x:f>XLOOKUP(B143,Orders!A:A,Orders!E:E,"")</x:f>
        <x:v>South</x:v>
      </x:c>
      <x:c r="L143" t="n">
        <x:f>XLOOKUP(B143,Orders!A:A,Orders!B:B,"")</x:f>
        <x:v>45690</x:v>
      </x:c>
      <x:c r="M143" t="str">
        <x:f>XLOOKUP(C143,Products!A:A,Products!C:C,"")</x:f>
        <x:v>Electronics</x:v>
      </x:c>
    </x:row>
    <x:row r="144">
      <x:c r="A144" s="15" t="str">
        <x:v>ITEM00060_1</x:v>
      </x:c>
      <x:c r="B144" s="15" t="str">
        <x:v>ORD00060</x:v>
      </x:c>
      <x:c r="C144" s="15" t="str">
        <x:v>PROD005</x:v>
      </x:c>
      <x:c r="D144" s="15" t="n">
        <x:v>5</x:v>
      </x:c>
      <x:c r="E144" s="15" t="n">
        <x:v>6453.62</x:v>
      </x:c>
      <x:c r="F144" s="15" t="n">
        <x:v>0.05</x:v>
      </x:c>
      <x:c r="G144" s="15" t="n">
        <x:v>32268.1</x:v>
      </x:c>
      <x:c r="H144" s="15" t="n">
        <x:v>30654.69</x:v>
      </x:c>
      <x:c r="I144" s="15" t="n">
        <x:v>24240</x:v>
      </x:c>
      <x:c r="J144" s="15" t="n">
        <x:v>6414.69</x:v>
      </x:c>
      <x:c r="K144" t="str">
        <x:f>XLOOKUP(B144,Orders!A:A,Orders!E:E,"")</x:f>
        <x:v>South</x:v>
      </x:c>
      <x:c r="L144" t="n">
        <x:f>XLOOKUP(B144,Orders!A:A,Orders!B:B,"")</x:f>
        <x:v>46175</x:v>
      </x:c>
      <x:c r="M144" t="str">
        <x:f>XLOOKUP(C144,Products!A:A,Products!C:C,"")</x:f>
        <x:v>Office Supplies</x:v>
      </x:c>
    </x:row>
    <x:row r="145">
      <x:c r="A145" s="15" t="str">
        <x:v>ITEM00060_2</x:v>
      </x:c>
      <x:c r="B145" s="15" t="str">
        <x:v>ORD00060</x:v>
      </x:c>
      <x:c r="C145" s="15" t="str">
        <x:v>PROD015</x:v>
      </x:c>
      <x:c r="D145" s="15" t="n">
        <x:v>1</x:v>
      </x:c>
      <x:c r="E145" s="15" t="n">
        <x:v>5903.1</x:v>
      </x:c>
      <x:c r="F145" s="15" t="n">
        <x:v>0.05</x:v>
      </x:c>
      <x:c r="G145" s="15" t="n">
        <x:v>5903.1</x:v>
      </x:c>
      <x:c r="H145" s="15" t="n">
        <x:v>5607.94</x:v>
      </x:c>
      <x:c r="I145" s="15" t="n">
        <x:v>4785</x:v>
      </x:c>
      <x:c r="J145" s="15" t="n">
        <x:v>822.94</x:v>
      </x:c>
      <x:c r="K145" t="str">
        <x:f>XLOOKUP(B145,Orders!A:A,Orders!E:E,"")</x:f>
        <x:v>South</x:v>
      </x:c>
      <x:c r="L145" t="n">
        <x:f>XLOOKUP(B145,Orders!A:A,Orders!B:B,"")</x:f>
        <x:v>46175</x:v>
      </x:c>
      <x:c r="M145" t="str">
        <x:f>XLOOKUP(C145,Products!A:A,Products!C:C,"")</x:f>
        <x:v>Electronics</x:v>
      </x:c>
    </x:row>
    <x:row r="146">
      <x:c r="A146" s="15" t="str">
        <x:v>ITEM00061_1</x:v>
      </x:c>
      <x:c r="B146" s="15" t="str">
        <x:v>ORD00061</x:v>
      </x:c>
      <x:c r="C146" s="15" t="str">
        <x:v>PROD006</x:v>
      </x:c>
      <x:c r="D146" s="15" t="n">
        <x:v>4</x:v>
      </x:c>
      <x:c r="E146" s="15" t="n">
        <x:v>4261.26</x:v>
      </x:c>
      <x:c r="F146" s="15" t="n">
        <x:v>0.1</x:v>
      </x:c>
      <x:c r="G146" s="15" t="n">
        <x:v>17045.04</x:v>
      </x:c>
      <x:c r="H146" s="15" t="n">
        <x:v>15340.54</x:v>
      </x:c>
      <x:c r="I146" s="15" t="n">
        <x:v>12268</x:v>
      </x:c>
      <x:c r="J146" s="15" t="n">
        <x:v>3072.54</x:v>
      </x:c>
      <x:c r="K146" t="str">
        <x:f>XLOOKUP(B146,Orders!A:A,Orders!E:E,"")</x:f>
        <x:v>West</x:v>
      </x:c>
      <x:c r="L146" t="n">
        <x:f>XLOOKUP(B146,Orders!A:A,Orders!B:B,"")</x:f>
        <x:v>45953</x:v>
      </x:c>
      <x:c r="M146" t="str">
        <x:f>XLOOKUP(C146,Products!A:A,Products!C:C,"")</x:f>
        <x:v>Office Supplies</x:v>
      </x:c>
    </x:row>
    <x:row r="147">
      <x:c r="A147" s="15" t="str">
        <x:v>ITEM00062_1</x:v>
      </x:c>
      <x:c r="B147" s="15" t="str">
        <x:v>ORD00062</x:v>
      </x:c>
      <x:c r="C147" s="15" t="str">
        <x:v>PROD011</x:v>
      </x:c>
      <x:c r="D147" s="15" t="n">
        <x:v>2</x:v>
      </x:c>
      <x:c r="E147" s="15" t="n">
        <x:v>7135.27</x:v>
      </x:c>
      <x:c r="F147" s="15" t="n">
        <x:v>0</x:v>
      </x:c>
      <x:c r="G147" s="15" t="n">
        <x:v>14270.54</x:v>
      </x:c>
      <x:c r="H147" s="15" t="n">
        <x:v>14270.54</x:v>
      </x:c>
      <x:c r="I147" s="15" t="n">
        <x:v>10406</x:v>
      </x:c>
      <x:c r="J147" s="15" t="n">
        <x:v>3864.54</x:v>
      </x:c>
      <x:c r="K147" t="str">
        <x:f>XLOOKUP(B147,Orders!A:A,Orders!E:E,"")</x:f>
        <x:v>West</x:v>
      </x:c>
      <x:c r="L147" t="n">
        <x:f>XLOOKUP(B147,Orders!A:A,Orders!B:B,"")</x:f>
        <x:v>46088</x:v>
      </x:c>
      <x:c r="M147" t="str">
        <x:f>XLOOKUP(C147,Products!A:A,Products!C:C,"")</x:f>
        <x:v>Accessories</x:v>
      </x:c>
    </x:row>
    <x:row r="148">
      <x:c r="A148" s="15" t="str">
        <x:v>ITEM00063_1</x:v>
      </x:c>
      <x:c r="B148" s="15" t="str">
        <x:v>ORD00063</x:v>
      </x:c>
      <x:c r="C148" s="15" t="str">
        <x:v>PROD026</x:v>
      </x:c>
      <x:c r="D148" s="15" t="n">
        <x:v>3</x:v>
      </x:c>
      <x:c r="E148" s="15" t="n">
        <x:v>3848.69</x:v>
      </x:c>
      <x:c r="F148" s="15" t="n">
        <x:v>0</x:v>
      </x:c>
      <x:c r="G148" s="15" t="n">
        <x:v>11546.07</x:v>
      </x:c>
      <x:c r="H148" s="15" t="n">
        <x:v>11546.07</x:v>
      </x:c>
      <x:c r="I148" s="15" t="n">
        <x:v>7902</x:v>
      </x:c>
      <x:c r="J148" s="15" t="n">
        <x:v>3644.07</x:v>
      </x:c>
      <x:c r="K148" t="str">
        <x:f>XLOOKUP(B148,Orders!A:A,Orders!E:E,"")</x:f>
        <x:v>North</x:v>
      </x:c>
      <x:c r="L148" t="n">
        <x:f>XLOOKUP(B148,Orders!A:A,Orders!B:B,"")</x:f>
        <x:v>46038</x:v>
      </x:c>
      <x:c r="M148" t="str">
        <x:f>XLOOKUP(C148,Products!A:A,Products!C:C,"")</x:f>
        <x:v>Accessories</x:v>
      </x:c>
    </x:row>
    <x:row r="149">
      <x:c r="A149" s="15" t="str">
        <x:v>ITEM00064_1</x:v>
      </x:c>
      <x:c r="B149" s="15" t="str">
        <x:v>ORD00064</x:v>
      </x:c>
      <x:c r="C149" s="15" t="str">
        <x:v>PROD018</x:v>
      </x:c>
      <x:c r="D149" s="15" t="n">
        <x:v>1</x:v>
      </x:c>
      <x:c r="E149" s="15" t="n">
        <x:v>5637.8</x:v>
      </x:c>
      <x:c r="F149" s="15" t="n">
        <x:v>0</x:v>
      </x:c>
      <x:c r="G149" s="15" t="n">
        <x:v>5637.8</x:v>
      </x:c>
      <x:c r="H149" s="15" t="n">
        <x:v>5637.8</x:v>
      </x:c>
      <x:c r="I149" s="15" t="n">
        <x:v>4211</x:v>
      </x:c>
      <x:c r="J149" s="15" t="n">
        <x:v>1426.8</x:v>
      </x:c>
      <x:c r="K149" t="str">
        <x:f>XLOOKUP(B149,Orders!A:A,Orders!E:E,"")</x:f>
        <x:v>East</x:v>
      </x:c>
      <x:c r="L149" t="n">
        <x:f>XLOOKUP(B149,Orders!A:A,Orders!B:B,"")</x:f>
        <x:v>45710</x:v>
      </x:c>
      <x:c r="M149" t="str">
        <x:f>XLOOKUP(C149,Products!A:A,Products!C:C,"")</x:f>
        <x:v>Electronics</x:v>
      </x:c>
    </x:row>
    <x:row r="150">
      <x:c r="A150" s="15" t="str">
        <x:v>ITEM00064_2</x:v>
      </x:c>
      <x:c r="B150" s="15" t="str">
        <x:v>ORD00064</x:v>
      </x:c>
      <x:c r="C150" s="15" t="str">
        <x:v>PROD008</x:v>
      </x:c>
      <x:c r="D150" s="15" t="n">
        <x:v>8</x:v>
      </x:c>
      <x:c r="E150" s="15" t="n">
        <x:v>8534.48</x:v>
      </x:c>
      <x:c r="F150" s="15" t="n">
        <x:v>0</x:v>
      </x:c>
      <x:c r="G150" s="15" t="n">
        <x:v>68275.84</x:v>
      </x:c>
      <x:c r="H150" s="15" t="n">
        <x:v>68275.84</x:v>
      </x:c>
      <x:c r="I150" s="15" t="n">
        <x:v>49576</x:v>
      </x:c>
      <x:c r="J150" s="15" t="n">
        <x:v>18699.84</x:v>
      </x:c>
      <x:c r="K150" t="str">
        <x:f>XLOOKUP(B150,Orders!A:A,Orders!E:E,"")</x:f>
        <x:v>East</x:v>
      </x:c>
      <x:c r="L150" t="n">
        <x:f>XLOOKUP(B150,Orders!A:A,Orders!B:B,"")</x:f>
        <x:v>45710</x:v>
      </x:c>
      <x:c r="M150" t="str">
        <x:f>XLOOKUP(C150,Products!A:A,Products!C:C,"")</x:f>
        <x:v>Office Supplies</x:v>
      </x:c>
    </x:row>
    <x:row r="151">
      <x:c r="A151" s="15" t="str">
        <x:v>ITEM00064_3</x:v>
      </x:c>
      <x:c r="B151" s="15" t="str">
        <x:v>ORD00064</x:v>
      </x:c>
      <x:c r="C151" s="15" t="str">
        <x:v>PROD019</x:v>
      </x:c>
      <x:c r="D151" s="15" t="n">
        <x:v>6</x:v>
      </x:c>
      <x:c r="E151" s="15" t="n">
        <x:v>5996.29</x:v>
      </x:c>
      <x:c r="F151" s="15" t="n">
        <x:v>0.1</x:v>
      </x:c>
      <x:c r="G151" s="15" t="n">
        <x:v>35977.74</x:v>
      </x:c>
      <x:c r="H151" s="15" t="n">
        <x:v>32379.97</x:v>
      </x:c>
      <x:c r="I151" s="15" t="n">
        <x:v>27060</x:v>
      </x:c>
      <x:c r="J151" s="15" t="n">
        <x:v>5319.97</x:v>
      </x:c>
      <x:c r="K151" t="str">
        <x:f>XLOOKUP(B151,Orders!A:A,Orders!E:E,"")</x:f>
        <x:v>East</x:v>
      </x:c>
      <x:c r="L151" t="n">
        <x:f>XLOOKUP(B151,Orders!A:A,Orders!B:B,"")</x:f>
        <x:v>45710</x:v>
      </x:c>
      <x:c r="M151" t="str">
        <x:f>XLOOKUP(C151,Products!A:A,Products!C:C,"")</x:f>
        <x:v>Electronics</x:v>
      </x:c>
    </x:row>
    <x:row r="152">
      <x:c r="A152" s="15" t="str">
        <x:v>ITEM00064_4</x:v>
      </x:c>
      <x:c r="B152" s="15" t="str">
        <x:v>ORD00064</x:v>
      </x:c>
      <x:c r="C152" s="15" t="str">
        <x:v>PROD031</x:v>
      </x:c>
      <x:c r="D152" s="15" t="n">
        <x:v>1</x:v>
      </x:c>
      <x:c r="E152" s="15" t="n">
        <x:v>3371.81</x:v>
      </x:c>
      <x:c r="F152" s="15" t="n">
        <x:v>0</x:v>
      </x:c>
      <x:c r="G152" s="15" t="n">
        <x:v>3371.81</x:v>
      </x:c>
      <x:c r="H152" s="15" t="n">
        <x:v>3371.81</x:v>
      </x:c>
      <x:c r="I152" s="15" t="n">
        <x:v>2797</x:v>
      </x:c>
      <x:c r="J152" s="15" t="n">
        <x:v>574.81</x:v>
      </x:c>
      <x:c r="K152" t="str">
        <x:f>XLOOKUP(B152,Orders!A:A,Orders!E:E,"")</x:f>
        <x:v>East</x:v>
      </x:c>
      <x:c r="L152" t="n">
        <x:f>XLOOKUP(B152,Orders!A:A,Orders!B:B,"")</x:f>
        <x:v>45710</x:v>
      </x:c>
      <x:c r="M152" t="str">
        <x:f>XLOOKUP(C152,Products!A:A,Products!C:C,"")</x:f>
        <x:v>Furniture</x:v>
      </x:c>
    </x:row>
    <x:row r="153">
      <x:c r="A153" s="15" t="str">
        <x:v>ITEM00065_1</x:v>
      </x:c>
      <x:c r="B153" s="15" t="str">
        <x:v>ORD00065</x:v>
      </x:c>
      <x:c r="C153" s="15" t="str">
        <x:v>PROD019</x:v>
      </x:c>
      <x:c r="D153" s="15" t="n">
        <x:v>2</x:v>
      </x:c>
      <x:c r="E153" s="15" t="n">
        <x:v>5996.29</x:v>
      </x:c>
      <x:c r="F153" s="15" t="n">
        <x:v>0</x:v>
      </x:c>
      <x:c r="G153" s="15" t="n">
        <x:v>11992.58</x:v>
      </x:c>
      <x:c r="H153" s="15" t="n">
        <x:v>11992.58</x:v>
      </x:c>
      <x:c r="I153" s="15" t="n">
        <x:v>9020</x:v>
      </x:c>
      <x:c r="J153" s="15" t="n">
        <x:v>2972.58</x:v>
      </x:c>
      <x:c r="K153" t="str">
        <x:f>XLOOKUP(B153,Orders!A:A,Orders!E:E,"")</x:f>
        <x:v>South</x:v>
      </x:c>
      <x:c r="L153" t="n">
        <x:f>XLOOKUP(B153,Orders!A:A,Orders!B:B,"")</x:f>
        <x:v>45813</x:v>
      </x:c>
      <x:c r="M153" t="str">
        <x:f>XLOOKUP(C153,Products!A:A,Products!C:C,"")</x:f>
        <x:v>Electronics</x:v>
      </x:c>
    </x:row>
    <x:row r="154">
      <x:c r="A154" s="15" t="str">
        <x:v>ITEM00065_2</x:v>
      </x:c>
      <x:c r="B154" s="15" t="str">
        <x:v>ORD00065</x:v>
      </x:c>
      <x:c r="C154" s="15" t="str">
        <x:v>PROD019</x:v>
      </x:c>
      <x:c r="D154" s="15" t="n">
        <x:v>3</x:v>
      </x:c>
      <x:c r="E154" s="15" t="n">
        <x:v>5996.29</x:v>
      </x:c>
      <x:c r="F154" s="15" t="n">
        <x:v>0</x:v>
      </x:c>
      <x:c r="G154" s="15" t="n">
        <x:v>17988.87</x:v>
      </x:c>
      <x:c r="H154" s="15" t="n">
        <x:v>17988.87</x:v>
      </x:c>
      <x:c r="I154" s="15" t="n">
        <x:v>13530</x:v>
      </x:c>
      <x:c r="J154" s="15" t="n">
        <x:v>4458.87</x:v>
      </x:c>
      <x:c r="K154" t="str">
        <x:f>XLOOKUP(B154,Orders!A:A,Orders!E:E,"")</x:f>
        <x:v>South</x:v>
      </x:c>
      <x:c r="L154" t="n">
        <x:f>XLOOKUP(B154,Orders!A:A,Orders!B:B,"")</x:f>
        <x:v>45813</x:v>
      </x:c>
      <x:c r="M154" t="str">
        <x:f>XLOOKUP(C154,Products!A:A,Products!C:C,"")</x:f>
        <x:v>Electronics</x:v>
      </x:c>
    </x:row>
    <x:row r="155">
      <x:c r="A155" s="15" t="str">
        <x:v>ITEM00065_3</x:v>
      </x:c>
      <x:c r="B155" s="15" t="str">
        <x:v>ORD00065</x:v>
      </x:c>
      <x:c r="C155" s="15" t="str">
        <x:v>PROD026</x:v>
      </x:c>
      <x:c r="D155" s="15" t="n">
        <x:v>5</x:v>
      </x:c>
      <x:c r="E155" s="15" t="n">
        <x:v>3848.69</x:v>
      </x:c>
      <x:c r="F155" s="15" t="n">
        <x:v>0.15</x:v>
      </x:c>
      <x:c r="G155" s="15" t="n">
        <x:v>19243.45</x:v>
      </x:c>
      <x:c r="H155" s="15" t="n">
        <x:v>16356.93</x:v>
      </x:c>
      <x:c r="I155" s="15" t="n">
        <x:v>13170</x:v>
      </x:c>
      <x:c r="J155" s="15" t="n">
        <x:v>3186.93</x:v>
      </x:c>
      <x:c r="K155" t="str">
        <x:f>XLOOKUP(B155,Orders!A:A,Orders!E:E,"")</x:f>
        <x:v>South</x:v>
      </x:c>
      <x:c r="L155" t="n">
        <x:f>XLOOKUP(B155,Orders!A:A,Orders!B:B,"")</x:f>
        <x:v>45813</x:v>
      </x:c>
      <x:c r="M155" t="str">
        <x:f>XLOOKUP(C155,Products!A:A,Products!C:C,"")</x:f>
        <x:v>Accessories</x:v>
      </x:c>
    </x:row>
    <x:row r="156">
      <x:c r="A156" s="15" t="str">
        <x:v>ITEM00065_4</x:v>
      </x:c>
      <x:c r="B156" s="15" t="str">
        <x:v>ORD00065</x:v>
      </x:c>
      <x:c r="C156" s="15" t="str">
        <x:v>PROD010</x:v>
      </x:c>
      <x:c r="D156" s="15" t="n">
        <x:v>1</x:v>
      </x:c>
      <x:c r="E156" s="15" t="n">
        <x:v>8670.63</x:v>
      </x:c>
      <x:c r="F156" s="15" t="n">
        <x:v>0.05</x:v>
      </x:c>
      <x:c r="G156" s="15" t="n">
        <x:v>8670.63</x:v>
      </x:c>
      <x:c r="H156" s="15" t="n">
        <x:v>8237.1</x:v>
      </x:c>
      <x:c r="I156" s="15" t="n">
        <x:v>5853</x:v>
      </x:c>
      <x:c r="J156" s="15" t="n">
        <x:v>2384.1</x:v>
      </x:c>
      <x:c r="K156" t="str">
        <x:f>XLOOKUP(B156,Orders!A:A,Orders!E:E,"")</x:f>
        <x:v>South</x:v>
      </x:c>
      <x:c r="L156" t="n">
        <x:f>XLOOKUP(B156,Orders!A:A,Orders!B:B,"")</x:f>
        <x:v>45813</x:v>
      </x:c>
      <x:c r="M156" t="str">
        <x:f>XLOOKUP(C156,Products!A:A,Products!C:C,"")</x:f>
        <x:v>Accessories</x:v>
      </x:c>
    </x:row>
    <x:row r="157">
      <x:c r="A157" s="15" t="str">
        <x:v>ITEM00066_1</x:v>
      </x:c>
      <x:c r="B157" s="15" t="str">
        <x:v>ORD00066</x:v>
      </x:c>
      <x:c r="C157" s="15" t="str">
        <x:v>PROD033</x:v>
      </x:c>
      <x:c r="D157" s="15" t="n">
        <x:v>5</x:v>
      </x:c>
      <x:c r="E157" s="15" t="n">
        <x:v>3912.41</x:v>
      </x:c>
      <x:c r="F157" s="15" t="n">
        <x:v>0.05</x:v>
      </x:c>
      <x:c r="G157" s="15" t="n">
        <x:v>19562.05</x:v>
      </x:c>
      <x:c r="H157" s="15" t="n">
        <x:v>18583.95</x:v>
      </x:c>
      <x:c r="I157" s="15" t="n">
        <x:v>14955</x:v>
      </x:c>
      <x:c r="J157" s="15" t="n">
        <x:v>3628.95</x:v>
      </x:c>
      <x:c r="K157" t="str">
        <x:f>XLOOKUP(B157,Orders!A:A,Orders!E:E,"")</x:f>
        <x:v>North</x:v>
      </x:c>
      <x:c r="L157" t="n">
        <x:f>XLOOKUP(B157,Orders!A:A,Orders!B:B,"")</x:f>
        <x:v>46174</x:v>
      </x:c>
      <x:c r="M157" t="str">
        <x:f>XLOOKUP(C157,Products!A:A,Products!C:C,"")</x:f>
        <x:v>Furniture</x:v>
      </x:c>
    </x:row>
    <x:row r="158">
      <x:c r="A158" s="15" t="str">
        <x:v>ITEM00066_2</x:v>
      </x:c>
      <x:c r="B158" s="15" t="str">
        <x:v>ORD00066</x:v>
      </x:c>
      <x:c r="C158" s="15" t="str">
        <x:v>PROD030</x:v>
      </x:c>
      <x:c r="D158" s="15" t="n">
        <x:v>8</x:v>
      </x:c>
      <x:c r="E158" s="15" t="n">
        <x:v>5180.7</x:v>
      </x:c>
      <x:c r="F158" s="15" t="n">
        <x:v>0.1</x:v>
      </x:c>
      <x:c r="G158" s="15" t="n">
        <x:v>41445.6</x:v>
      </x:c>
      <x:c r="H158" s="15" t="n">
        <x:v>37301.04</x:v>
      </x:c>
      <x:c r="I158" s="15" t="n">
        <x:v>31104</x:v>
      </x:c>
      <x:c r="J158" s="15" t="n">
        <x:v>6197.04</x:v>
      </x:c>
      <x:c r="K158" t="str">
        <x:f>XLOOKUP(B158,Orders!A:A,Orders!E:E,"")</x:f>
        <x:v>North</x:v>
      </x:c>
      <x:c r="L158" t="n">
        <x:f>XLOOKUP(B158,Orders!A:A,Orders!B:B,"")</x:f>
        <x:v>46174</x:v>
      </x:c>
      <x:c r="M158" t="str">
        <x:f>XLOOKUP(C158,Products!A:A,Products!C:C,"")</x:f>
        <x:v>Office Supplies</x:v>
      </x:c>
    </x:row>
    <x:row r="159">
      <x:c r="A159" s="15" t="str">
        <x:v>ITEM00066_3</x:v>
      </x:c>
      <x:c r="B159" s="15" t="str">
        <x:v>ORD00066</x:v>
      </x:c>
      <x:c r="C159" s="15" t="str">
        <x:v>PROD002</x:v>
      </x:c>
      <x:c r="D159" s="15" t="n">
        <x:v>1</x:v>
      </x:c>
      <x:c r="E159" s="15" t="n">
        <x:v>4655.92</x:v>
      </x:c>
      <x:c r="F159" s="15" t="n">
        <x:v>0</x:v>
      </x:c>
      <x:c r="G159" s="15" t="n">
        <x:v>4655.92</x:v>
      </x:c>
      <x:c r="H159" s="15" t="n">
        <x:v>4655.92</x:v>
      </x:c>
      <x:c r="I159" s="15" t="n">
        <x:v>3133</x:v>
      </x:c>
      <x:c r="J159" s="15" t="n">
        <x:v>1522.92</x:v>
      </x:c>
      <x:c r="K159" t="str">
        <x:f>XLOOKUP(B159,Orders!A:A,Orders!E:E,"")</x:f>
        <x:v>North</x:v>
      </x:c>
      <x:c r="L159" t="n">
        <x:f>XLOOKUP(B159,Orders!A:A,Orders!B:B,"")</x:f>
        <x:v>46174</x:v>
      </x:c>
      <x:c r="M159" t="str">
        <x:f>XLOOKUP(C159,Products!A:A,Products!C:C,"")</x:f>
        <x:v>Accessories</x:v>
      </x:c>
    </x:row>
    <x:row r="160">
      <x:c r="A160" s="15" t="str">
        <x:v>ITEM00067_1</x:v>
      </x:c>
      <x:c r="B160" s="15" t="str">
        <x:v>ORD00067</x:v>
      </x:c>
      <x:c r="C160" s="15" t="str">
        <x:v>PROD037</x:v>
      </x:c>
      <x:c r="D160" s="15" t="n">
        <x:v>8</x:v>
      </x:c>
      <x:c r="E160" s="15" t="n">
        <x:v>9876.8</x:v>
      </x:c>
      <x:c r="F160" s="15" t="n">
        <x:v>0</x:v>
      </x:c>
      <x:c r="G160" s="15" t="n">
        <x:v>79014.4</x:v>
      </x:c>
      <x:c r="H160" s="15" t="n">
        <x:v>79014.4</x:v>
      </x:c>
      <x:c r="I160" s="15" t="n">
        <x:v>56992</x:v>
      </x:c>
      <x:c r="J160" s="15" t="n">
        <x:v>22022.4</x:v>
      </x:c>
      <x:c r="K160" t="str">
        <x:f>XLOOKUP(B160,Orders!A:A,Orders!E:E,"")</x:f>
        <x:v>North</x:v>
      </x:c>
      <x:c r="L160" t="n">
        <x:f>XLOOKUP(B160,Orders!A:A,Orders!B:B,"")</x:f>
        <x:v>45673</x:v>
      </x:c>
      <x:c r="M160" t="str">
        <x:f>XLOOKUP(C160,Products!A:A,Products!C:C,"")</x:f>
        <x:v>Accessories</x:v>
      </x:c>
    </x:row>
    <x:row r="161">
      <x:c r="A161" s="15" t="str">
        <x:v>ITEM00068_1</x:v>
      </x:c>
      <x:c r="B161" s="15" t="str">
        <x:v>ORD00068</x:v>
      </x:c>
      <x:c r="C161" s="15" t="str">
        <x:v>PROD035</x:v>
      </x:c>
      <x:c r="D161" s="15" t="n">
        <x:v>1</x:v>
      </x:c>
      <x:c r="E161" s="15" t="n">
        <x:v>3972.26</x:v>
      </x:c>
      <x:c r="F161" s="15" t="n">
        <x:v>0.15</x:v>
      </x:c>
      <x:c r="G161" s="15" t="n">
        <x:v>3972.26</x:v>
      </x:c>
      <x:c r="H161" s="15" t="n">
        <x:v>3376.42</x:v>
      </x:c>
      <x:c r="I161" s="15" t="n">
        <x:v>3187</x:v>
      </x:c>
      <x:c r="J161" s="15" t="n">
        <x:v>189.42</x:v>
      </x:c>
      <x:c r="K161" t="str">
        <x:f>XLOOKUP(B161,Orders!A:A,Orders!E:E,"")</x:f>
        <x:v>North</x:v>
      </x:c>
      <x:c r="L161" t="n">
        <x:f>XLOOKUP(B161,Orders!A:A,Orders!B:B,"")</x:f>
        <x:v>45722</x:v>
      </x:c>
      <x:c r="M161" t="str">
        <x:f>XLOOKUP(C161,Products!A:A,Products!C:C,"")</x:f>
        <x:v>Electronics</x:v>
      </x:c>
    </x:row>
    <x:row r="162">
      <x:c r="A162" s="15" t="str">
        <x:v>ITEM00069_1</x:v>
      </x:c>
      <x:c r="B162" s="15" t="str">
        <x:v>ORD00069</x:v>
      </x:c>
      <x:c r="C162" s="15" t="str">
        <x:v>PROD029</x:v>
      </x:c>
      <x:c r="D162" s="15" t="n">
        <x:v>4</x:v>
      </x:c>
      <x:c r="E162" s="15" t="n">
        <x:v>8430.77</x:v>
      </x:c>
      <x:c r="F162" s="15" t="n">
        <x:v>0.15</x:v>
      </x:c>
      <x:c r="G162" s="15" t="n">
        <x:v>33723.08</x:v>
      </x:c>
      <x:c r="H162" s="15" t="n">
        <x:v>28664.62</x:v>
      </x:c>
      <x:c r="I162" s="15" t="n">
        <x:v>24740</x:v>
      </x:c>
      <x:c r="J162" s="15" t="n">
        <x:v>3924.62</x:v>
      </x:c>
      <x:c r="K162" t="str">
        <x:f>XLOOKUP(B162,Orders!A:A,Orders!E:E,"")</x:f>
        <x:v>North</x:v>
      </x:c>
      <x:c r="L162" t="n">
        <x:f>XLOOKUP(B162,Orders!A:A,Orders!B:B,"")</x:f>
        <x:v>46117</x:v>
      </x:c>
      <x:c r="M162" t="str">
        <x:f>XLOOKUP(C162,Products!A:A,Products!C:C,"")</x:f>
        <x:v>Office Supplies</x:v>
      </x:c>
    </x:row>
    <x:row r="163">
      <x:c r="A163" s="15" t="str">
        <x:v>ITEM00069_2</x:v>
      </x:c>
      <x:c r="B163" s="15" t="str">
        <x:v>ORD00069</x:v>
      </x:c>
      <x:c r="C163" s="15" t="str">
        <x:v>PROD034</x:v>
      </x:c>
      <x:c r="D163" s="15" t="n">
        <x:v>5</x:v>
      </x:c>
      <x:c r="E163" s="15" t="n">
        <x:v>5451.76</x:v>
      </x:c>
      <x:c r="F163" s="15" t="n">
        <x:v>0.15</x:v>
      </x:c>
      <x:c r="G163" s="15" t="n">
        <x:v>27258.8</x:v>
      </x:c>
      <x:c r="H163" s="15" t="n">
        <x:v>23169.98</x:v>
      </x:c>
      <x:c r="I163" s="15" t="n">
        <x:v>18880</x:v>
      </x:c>
      <x:c r="J163" s="15" t="n">
        <x:v>4289.98</x:v>
      </x:c>
      <x:c r="K163" t="str">
        <x:f>XLOOKUP(B163,Orders!A:A,Orders!E:E,"")</x:f>
        <x:v>North</x:v>
      </x:c>
      <x:c r="L163" t="n">
        <x:f>XLOOKUP(B163,Orders!A:A,Orders!B:B,"")</x:f>
        <x:v>46117</x:v>
      </x:c>
      <x:c r="M163" t="str">
        <x:f>XLOOKUP(C163,Products!A:A,Products!C:C,"")</x:f>
        <x:v>Accessories</x:v>
      </x:c>
    </x:row>
    <x:row r="164">
      <x:c r="A164" s="15" t="str">
        <x:v>ITEM00070_1</x:v>
      </x:c>
      <x:c r="B164" s="15" t="str">
        <x:v>ORD00070</x:v>
      </x:c>
      <x:c r="C164" s="15" t="str">
        <x:v>PROD035</x:v>
      </x:c>
      <x:c r="D164" s="15" t="n">
        <x:v>4</x:v>
      </x:c>
      <x:c r="E164" s="15" t="n">
        <x:v>3972.26</x:v>
      </x:c>
      <x:c r="F164" s="15" t="n">
        <x:v>0.15</x:v>
      </x:c>
      <x:c r="G164" s="15" t="n">
        <x:v>15889.04</x:v>
      </x:c>
      <x:c r="H164" s="15" t="n">
        <x:v>13505.68</x:v>
      </x:c>
      <x:c r="I164" s="15" t="n">
        <x:v>12748</x:v>
      </x:c>
      <x:c r="J164" s="15" t="n">
        <x:v>757.68</x:v>
      </x:c>
      <x:c r="K164" t="str">
        <x:f>XLOOKUP(B164,Orders!A:A,Orders!E:E,"")</x:f>
        <x:v>West</x:v>
      </x:c>
      <x:c r="L164" t="n">
        <x:f>XLOOKUP(B164,Orders!A:A,Orders!B:B,"")</x:f>
        <x:v>46115</x:v>
      </x:c>
      <x:c r="M164" t="str">
        <x:f>XLOOKUP(C164,Products!A:A,Products!C:C,"")</x:f>
        <x:v>Electronics</x:v>
      </x:c>
    </x:row>
    <x:row r="165">
      <x:c r="A165" s="15" t="str">
        <x:v>ITEM00070_2</x:v>
      </x:c>
      <x:c r="B165" s="15" t="str">
        <x:v>ORD00070</x:v>
      </x:c>
      <x:c r="C165" s="15" t="str">
        <x:v>PROD038</x:v>
      </x:c>
      <x:c r="D165" s="15" t="n">
        <x:v>2</x:v>
      </x:c>
      <x:c r="E165" s="15" t="n">
        <x:v>5219.7</x:v>
      </x:c>
      <x:c r="F165" s="15" t="n">
        <x:v>0.05</x:v>
      </x:c>
      <x:c r="G165" s="15" t="n">
        <x:v>10439.4</x:v>
      </x:c>
      <x:c r="H165" s="15" t="n">
        <x:v>9917.43</x:v>
      </x:c>
      <x:c r="I165" s="15" t="n">
        <x:v>7872</x:v>
      </x:c>
      <x:c r="J165" s="15" t="n">
        <x:v>2045.43</x:v>
      </x:c>
      <x:c r="K165" t="str">
        <x:f>XLOOKUP(B165,Orders!A:A,Orders!E:E,"")</x:f>
        <x:v>West</x:v>
      </x:c>
      <x:c r="L165" t="n">
        <x:f>XLOOKUP(B165,Orders!A:A,Orders!B:B,"")</x:f>
        <x:v>46115</x:v>
      </x:c>
      <x:c r="M165" t="str">
        <x:f>XLOOKUP(C165,Products!A:A,Products!C:C,"")</x:f>
        <x:v>Office Supplies</x:v>
      </x:c>
    </x:row>
    <x:row r="166">
      <x:c r="A166" s="15" t="str">
        <x:v>ITEM00070_3</x:v>
      </x:c>
      <x:c r="B166" s="15" t="str">
        <x:v>ORD00070</x:v>
      </x:c>
      <x:c r="C166" s="15" t="str">
        <x:v>PROD019</x:v>
      </x:c>
      <x:c r="D166" s="15" t="n">
        <x:v>3</x:v>
      </x:c>
      <x:c r="E166" s="15" t="n">
        <x:v>5996.29</x:v>
      </x:c>
      <x:c r="F166" s="15" t="n">
        <x:v>0.05</x:v>
      </x:c>
      <x:c r="G166" s="15" t="n">
        <x:v>17988.87</x:v>
      </x:c>
      <x:c r="H166" s="15" t="n">
        <x:v>17089.43</x:v>
      </x:c>
      <x:c r="I166" s="15" t="n">
        <x:v>13530</x:v>
      </x:c>
      <x:c r="J166" s="15" t="n">
        <x:v>3559.43</x:v>
      </x:c>
      <x:c r="K166" t="str">
        <x:f>XLOOKUP(B166,Orders!A:A,Orders!E:E,"")</x:f>
        <x:v>West</x:v>
      </x:c>
      <x:c r="L166" t="n">
        <x:f>XLOOKUP(B166,Orders!A:A,Orders!B:B,"")</x:f>
        <x:v>46115</x:v>
      </x:c>
      <x:c r="M166" t="str">
        <x:f>XLOOKUP(C166,Products!A:A,Products!C:C,"")</x:f>
        <x:v>Electronics</x:v>
      </x:c>
    </x:row>
    <x:row r="167">
      <x:c r="A167" s="15" t="str">
        <x:v>ITEM00071_1</x:v>
      </x:c>
      <x:c r="B167" s="15" t="str">
        <x:v>ORD00071</x:v>
      </x:c>
      <x:c r="C167" s="15" t="str">
        <x:v>PROD001</x:v>
      </x:c>
      <x:c r="D167" s="15" t="n">
        <x:v>3</x:v>
      </x:c>
      <x:c r="E167" s="15" t="n">
        <x:v>8672.7</x:v>
      </x:c>
      <x:c r="F167" s="15" t="n">
        <x:v>0.15</x:v>
      </x:c>
      <x:c r="G167" s="15" t="n">
        <x:v>26018.1</x:v>
      </x:c>
      <x:c r="H167" s="15" t="n">
        <x:v>22115.38</x:v>
      </x:c>
      <x:c r="I167" s="15" t="n">
        <x:v>18489</x:v>
      </x:c>
      <x:c r="J167" s="15" t="n">
        <x:v>3626.38</x:v>
      </x:c>
      <x:c r="K167" t="str">
        <x:f>XLOOKUP(B167,Orders!A:A,Orders!E:E,"")</x:f>
        <x:v>West</x:v>
      </x:c>
      <x:c r="L167" t="n">
        <x:f>XLOOKUP(B167,Orders!A:A,Orders!B:B,"")</x:f>
        <x:v>45811</x:v>
      </x:c>
      <x:c r="M167" t="str">
        <x:f>XLOOKUP(C167,Products!A:A,Products!C:C,"")</x:f>
        <x:v>Office Supplies</x:v>
      </x:c>
    </x:row>
    <x:row r="168">
      <x:c r="A168" s="15" t="str">
        <x:v>ITEM00071_2</x:v>
      </x:c>
      <x:c r="B168" s="15" t="str">
        <x:v>ORD00071</x:v>
      </x:c>
      <x:c r="C168" s="15" t="str">
        <x:v>PROD002</x:v>
      </x:c>
      <x:c r="D168" s="15" t="n">
        <x:v>5</x:v>
      </x:c>
      <x:c r="E168" s="15" t="n">
        <x:v>4655.92</x:v>
      </x:c>
      <x:c r="F168" s="15" t="n">
        <x:v>0.1</x:v>
      </x:c>
      <x:c r="G168" s="15" t="n">
        <x:v>23279.6</x:v>
      </x:c>
      <x:c r="H168" s="15" t="n">
        <x:v>20951.64</x:v>
      </x:c>
      <x:c r="I168" s="15" t="n">
        <x:v>15665</x:v>
      </x:c>
      <x:c r="J168" s="15" t="n">
        <x:v>5286.64</x:v>
      </x:c>
      <x:c r="K168" t="str">
        <x:f>XLOOKUP(B168,Orders!A:A,Orders!E:E,"")</x:f>
        <x:v>West</x:v>
      </x:c>
      <x:c r="L168" t="n">
        <x:f>XLOOKUP(B168,Orders!A:A,Orders!B:B,"")</x:f>
        <x:v>45811</x:v>
      </x:c>
      <x:c r="M168" t="str">
        <x:f>XLOOKUP(C168,Products!A:A,Products!C:C,"")</x:f>
        <x:v>Accessories</x:v>
      </x:c>
    </x:row>
    <x:row r="169">
      <x:c r="A169" s="15" t="str">
        <x:v>ITEM00071_3</x:v>
      </x:c>
      <x:c r="B169" s="15" t="str">
        <x:v>ORD00071</x:v>
      </x:c>
      <x:c r="C169" s="15" t="str">
        <x:v>PROD001</x:v>
      </x:c>
      <x:c r="D169" s="15" t="n">
        <x:v>6</x:v>
      </x:c>
      <x:c r="E169" s="15" t="n">
        <x:v>8672.7</x:v>
      </x:c>
      <x:c r="F169" s="15" t="n">
        <x:v>0</x:v>
      </x:c>
      <x:c r="G169" s="15" t="n">
        <x:v>52036.2</x:v>
      </x:c>
      <x:c r="H169" s="15" t="n">
        <x:v>52036.2</x:v>
      </x:c>
      <x:c r="I169" s="15" t="n">
        <x:v>36978</x:v>
      </x:c>
      <x:c r="J169" s="15" t="n">
        <x:v>15058.2</x:v>
      </x:c>
      <x:c r="K169" t="str">
        <x:f>XLOOKUP(B169,Orders!A:A,Orders!E:E,"")</x:f>
        <x:v>West</x:v>
      </x:c>
      <x:c r="L169" t="n">
        <x:f>XLOOKUP(B169,Orders!A:A,Orders!B:B,"")</x:f>
        <x:v>45811</x:v>
      </x:c>
      <x:c r="M169" t="str">
        <x:f>XLOOKUP(C169,Products!A:A,Products!C:C,"")</x:f>
        <x:v>Office Supplies</x:v>
      </x:c>
    </x:row>
    <x:row r="170">
      <x:c r="A170" s="15" t="str">
        <x:v>ITEM00072_1</x:v>
      </x:c>
      <x:c r="B170" s="15" t="str">
        <x:v>ORD00072</x:v>
      </x:c>
      <x:c r="C170" s="15" t="str">
        <x:v>PROD029</x:v>
      </x:c>
      <x:c r="D170" s="15" t="n">
        <x:v>5</x:v>
      </x:c>
      <x:c r="E170" s="15" t="n">
        <x:v>8430.77</x:v>
      </x:c>
      <x:c r="F170" s="15" t="n">
        <x:v>0.1</x:v>
      </x:c>
      <x:c r="G170" s="15" t="n">
        <x:v>42153.85</x:v>
      </x:c>
      <x:c r="H170" s="15" t="n">
        <x:v>37938.46</x:v>
      </x:c>
      <x:c r="I170" s="15" t="n">
        <x:v>30925</x:v>
      </x:c>
      <x:c r="J170" s="15" t="n">
        <x:v>7013.46</x:v>
      </x:c>
      <x:c r="K170" t="str">
        <x:f>XLOOKUP(B170,Orders!A:A,Orders!E:E,"")</x:f>
        <x:v>South</x:v>
      </x:c>
      <x:c r="L170" t="n">
        <x:f>XLOOKUP(B170,Orders!A:A,Orders!B:B,"")</x:f>
        <x:v>45780</x:v>
      </x:c>
      <x:c r="M170" t="str">
        <x:f>XLOOKUP(C170,Products!A:A,Products!C:C,"")</x:f>
        <x:v>Office Supplies</x:v>
      </x:c>
    </x:row>
    <x:row r="171">
      <x:c r="A171" s="15" t="str">
        <x:v>ITEM00073_1</x:v>
      </x:c>
      <x:c r="B171" s="15" t="str">
        <x:v>ORD00073</x:v>
      </x:c>
      <x:c r="C171" s="15" t="str">
        <x:v>PROD018</x:v>
      </x:c>
      <x:c r="D171" s="15" t="n">
        <x:v>1</x:v>
      </x:c>
      <x:c r="E171" s="15" t="n">
        <x:v>5637.8</x:v>
      </x:c>
      <x:c r="F171" s="15" t="n">
        <x:v>0.05</x:v>
      </x:c>
      <x:c r="G171" s="15" t="n">
        <x:v>5637.8</x:v>
      </x:c>
      <x:c r="H171" s="15" t="n">
        <x:v>5355.91</x:v>
      </x:c>
      <x:c r="I171" s="15" t="n">
        <x:v>4211</x:v>
      </x:c>
      <x:c r="J171" s="15" t="n">
        <x:v>1144.91</x:v>
      </x:c>
      <x:c r="K171" t="str">
        <x:f>XLOOKUP(B171,Orders!A:A,Orders!E:E,"")</x:f>
        <x:v>East</x:v>
      </x:c>
      <x:c r="L171" t="n">
        <x:f>XLOOKUP(B171,Orders!A:A,Orders!B:B,"")</x:f>
        <x:v>46046</x:v>
      </x:c>
      <x:c r="M171" t="str">
        <x:f>XLOOKUP(C171,Products!A:A,Products!C:C,"")</x:f>
        <x:v>Electronics</x:v>
      </x:c>
    </x:row>
    <x:row r="172">
      <x:c r="A172" s="15" t="str">
        <x:v>ITEM00073_2</x:v>
      </x:c>
      <x:c r="B172" s="15" t="str">
        <x:v>ORD00073</x:v>
      </x:c>
      <x:c r="C172" s="15" t="str">
        <x:v>PROD021</x:v>
      </x:c>
      <x:c r="D172" s="15" t="n">
        <x:v>4</x:v>
      </x:c>
      <x:c r="E172" s="15" t="n">
        <x:v>6748.85</x:v>
      </x:c>
      <x:c r="F172" s="15" t="n">
        <x:v>0.1</x:v>
      </x:c>
      <x:c r="G172" s="15" t="n">
        <x:v>26995.4</x:v>
      </x:c>
      <x:c r="H172" s="15" t="n">
        <x:v>24295.86</x:v>
      </x:c>
      <x:c r="I172" s="15" t="n">
        <x:v>19996</x:v>
      </x:c>
      <x:c r="J172" s="15" t="n">
        <x:v>4299.86</x:v>
      </x:c>
      <x:c r="K172" t="str">
        <x:f>XLOOKUP(B172,Orders!A:A,Orders!E:E,"")</x:f>
        <x:v>East</x:v>
      </x:c>
      <x:c r="L172" t="n">
        <x:f>XLOOKUP(B172,Orders!A:A,Orders!B:B,"")</x:f>
        <x:v>46046</x:v>
      </x:c>
      <x:c r="M172" t="str">
        <x:f>XLOOKUP(C172,Products!A:A,Products!C:C,"")</x:f>
        <x:v>Electronics</x:v>
      </x:c>
    </x:row>
    <x:row r="173">
      <x:c r="A173" s="15" t="str">
        <x:v>ITEM00073_3</x:v>
      </x:c>
      <x:c r="B173" s="15" t="str">
        <x:v>ORD00073</x:v>
      </x:c>
      <x:c r="C173" s="15" t="str">
        <x:v>PROD031</x:v>
      </x:c>
      <x:c r="D173" s="15" t="n">
        <x:v>1</x:v>
      </x:c>
      <x:c r="E173" s="15" t="n">
        <x:v>3371.81</x:v>
      </x:c>
      <x:c r="F173" s="15" t="n">
        <x:v>0</x:v>
      </x:c>
      <x:c r="G173" s="15" t="n">
        <x:v>3371.81</x:v>
      </x:c>
      <x:c r="H173" s="15" t="n">
        <x:v>3371.81</x:v>
      </x:c>
      <x:c r="I173" s="15" t="n">
        <x:v>2797</x:v>
      </x:c>
      <x:c r="J173" s="15" t="n">
        <x:v>574.81</x:v>
      </x:c>
      <x:c r="K173" t="str">
        <x:f>XLOOKUP(B173,Orders!A:A,Orders!E:E,"")</x:f>
        <x:v>East</x:v>
      </x:c>
      <x:c r="L173" t="n">
        <x:f>XLOOKUP(B173,Orders!A:A,Orders!B:B,"")</x:f>
        <x:v>46046</x:v>
      </x:c>
      <x:c r="M173" t="str">
        <x:f>XLOOKUP(C173,Products!A:A,Products!C:C,"")</x:f>
        <x:v>Furniture</x:v>
      </x:c>
    </x:row>
    <x:row r="174">
      <x:c r="A174" s="15" t="str">
        <x:v>ITEM00074_1</x:v>
      </x:c>
      <x:c r="B174" s="15" t="str">
        <x:v>ORD00074</x:v>
      </x:c>
      <x:c r="C174" s="15" t="str">
        <x:v>PROD009</x:v>
      </x:c>
      <x:c r="D174" s="15" t="n">
        <x:v>4</x:v>
      </x:c>
      <x:c r="E174" s="15" t="n">
        <x:v>4722.96</x:v>
      </x:c>
      <x:c r="F174" s="15" t="n">
        <x:v>0.15</x:v>
      </x:c>
      <x:c r="G174" s="15" t="n">
        <x:v>18891.84</x:v>
      </x:c>
      <x:c r="H174" s="15" t="n">
        <x:v>16058.06</x:v>
      </x:c>
      <x:c r="I174" s="15" t="n">
        <x:v>12852</x:v>
      </x:c>
      <x:c r="J174" s="15" t="n">
        <x:v>3206.06</x:v>
      </x:c>
      <x:c r="K174" t="str">
        <x:f>XLOOKUP(B174,Orders!A:A,Orders!E:E,"")</x:f>
        <x:v>East</x:v>
      </x:c>
      <x:c r="L174" t="n">
        <x:f>XLOOKUP(B174,Orders!A:A,Orders!B:B,"")</x:f>
        <x:v>46125</x:v>
      </x:c>
      <x:c r="M174" t="str">
        <x:f>XLOOKUP(C174,Products!A:A,Products!C:C,"")</x:f>
        <x:v>Accessories</x:v>
      </x:c>
    </x:row>
    <x:row r="175">
      <x:c r="A175" s="15" t="str">
        <x:v>ITEM00074_2</x:v>
      </x:c>
      <x:c r="B175" s="15" t="str">
        <x:v>ORD00074</x:v>
      </x:c>
      <x:c r="C175" s="15" t="str">
        <x:v>PROD004</x:v>
      </x:c>
      <x:c r="D175" s="15" t="n">
        <x:v>7</x:v>
      </x:c>
      <x:c r="E175" s="15" t="n">
        <x:v>5435.39</x:v>
      </x:c>
      <x:c r="F175" s="15" t="n">
        <x:v>0</x:v>
      </x:c>
      <x:c r="G175" s="15" t="n">
        <x:v>38047.73</x:v>
      </x:c>
      <x:c r="H175" s="15" t="n">
        <x:v>38047.73</x:v>
      </x:c>
      <x:c r="I175" s="15" t="n">
        <x:v>28987</x:v>
      </x:c>
      <x:c r="J175" s="15" t="n">
        <x:v>9060.73</x:v>
      </x:c>
      <x:c r="K175" t="str">
        <x:f>XLOOKUP(B175,Orders!A:A,Orders!E:E,"")</x:f>
        <x:v>East</x:v>
      </x:c>
      <x:c r="L175" t="n">
        <x:f>XLOOKUP(B175,Orders!A:A,Orders!B:B,"")</x:f>
        <x:v>46125</x:v>
      </x:c>
      <x:c r="M175" t="str">
        <x:f>XLOOKUP(C175,Products!A:A,Products!C:C,"")</x:f>
        <x:v>Office Supplies</x:v>
      </x:c>
    </x:row>
    <x:row r="176">
      <x:c r="A176" s="15" t="str">
        <x:v>ITEM00074_3</x:v>
      </x:c>
      <x:c r="B176" s="15" t="str">
        <x:v>ORD00074</x:v>
      </x:c>
      <x:c r="C176" s="15" t="str">
        <x:v>PROD005</x:v>
      </x:c>
      <x:c r="D176" s="15" t="n">
        <x:v>2</x:v>
      </x:c>
      <x:c r="E176" s="15" t="n">
        <x:v>6453.62</x:v>
      </x:c>
      <x:c r="F176" s="15" t="n">
        <x:v>0.1</x:v>
      </x:c>
      <x:c r="G176" s="15" t="n">
        <x:v>12907.24</x:v>
      </x:c>
      <x:c r="H176" s="15" t="n">
        <x:v>11616.52</x:v>
      </x:c>
      <x:c r="I176" s="15" t="n">
        <x:v>9696</x:v>
      </x:c>
      <x:c r="J176" s="15" t="n">
        <x:v>1920.52</x:v>
      </x:c>
      <x:c r="K176" t="str">
        <x:f>XLOOKUP(B176,Orders!A:A,Orders!E:E,"")</x:f>
        <x:v>East</x:v>
      </x:c>
      <x:c r="L176" t="n">
        <x:f>XLOOKUP(B176,Orders!A:A,Orders!B:B,"")</x:f>
        <x:v>46125</x:v>
      </x:c>
      <x:c r="M176" t="str">
        <x:f>XLOOKUP(C176,Products!A:A,Products!C:C,"")</x:f>
        <x:v>Office Supplies</x:v>
      </x:c>
    </x:row>
    <x:row r="177">
      <x:c r="A177" s="15" t="str">
        <x:v>ITEM00075_1</x:v>
      </x:c>
      <x:c r="B177" s="15" t="str">
        <x:v>ORD00075</x:v>
      </x:c>
      <x:c r="C177" s="15" t="str">
        <x:v>PROD040</x:v>
      </x:c>
      <x:c r="D177" s="15" t="n">
        <x:v>8</x:v>
      </x:c>
      <x:c r="E177" s="15" t="n">
        <x:v>8561.07</x:v>
      </x:c>
      <x:c r="F177" s="15" t="n">
        <x:v>0.15</x:v>
      </x:c>
      <x:c r="G177" s="15" t="n">
        <x:v>68488.56</x:v>
      </x:c>
      <x:c r="H177" s="15" t="n">
        <x:v>58215.28</x:v>
      </x:c>
      <x:c r="I177" s="15" t="n">
        <x:v>54728</x:v>
      </x:c>
      <x:c r="J177" s="15" t="n">
        <x:v>3487.28</x:v>
      </x:c>
      <x:c r="K177" t="str">
        <x:f>XLOOKUP(B177,Orders!A:A,Orders!E:E,"")</x:f>
        <x:v>North</x:v>
      </x:c>
      <x:c r="L177" t="n">
        <x:f>XLOOKUP(B177,Orders!A:A,Orders!B:B,"")</x:f>
        <x:v>45975</x:v>
      </x:c>
      <x:c r="M177" t="str">
        <x:f>XLOOKUP(C177,Products!A:A,Products!C:C,"")</x:f>
        <x:v>Electronics</x:v>
      </x:c>
    </x:row>
    <x:row r="178">
      <x:c r="A178" s="15" t="str">
        <x:v>ITEM00075_2</x:v>
      </x:c>
      <x:c r="B178" s="15" t="str">
        <x:v>ORD00075</x:v>
      </x:c>
      <x:c r="C178" s="15" t="str">
        <x:v>PROD026</x:v>
      </x:c>
      <x:c r="D178" s="15" t="n">
        <x:v>5</x:v>
      </x:c>
      <x:c r="E178" s="15" t="n">
        <x:v>3848.69</x:v>
      </x:c>
      <x:c r="F178" s="15" t="n">
        <x:v>0</x:v>
      </x:c>
      <x:c r="G178" s="15" t="n">
        <x:v>19243.45</x:v>
      </x:c>
      <x:c r="H178" s="15" t="n">
        <x:v>19243.45</x:v>
      </x:c>
      <x:c r="I178" s="15" t="n">
        <x:v>13170</x:v>
      </x:c>
      <x:c r="J178" s="15" t="n">
        <x:v>6073.45</x:v>
      </x:c>
      <x:c r="K178" t="str">
        <x:f>XLOOKUP(B178,Orders!A:A,Orders!E:E,"")</x:f>
        <x:v>North</x:v>
      </x:c>
      <x:c r="L178" t="n">
        <x:f>XLOOKUP(B178,Orders!A:A,Orders!B:B,"")</x:f>
        <x:v>45975</x:v>
      </x:c>
      <x:c r="M178" t="str">
        <x:f>XLOOKUP(C178,Products!A:A,Products!C:C,"")</x:f>
        <x:v>Accessories</x:v>
      </x:c>
    </x:row>
    <x:row r="179">
      <x:c r="A179" s="15" t="str">
        <x:v>ITEM00075_3</x:v>
      </x:c>
      <x:c r="B179" s="15" t="str">
        <x:v>ORD00075</x:v>
      </x:c>
      <x:c r="C179" s="15" t="str">
        <x:v>PROD018</x:v>
      </x:c>
      <x:c r="D179" s="15" t="n">
        <x:v>5</x:v>
      </x:c>
      <x:c r="E179" s="15" t="n">
        <x:v>5637.8</x:v>
      </x:c>
      <x:c r="F179" s="15" t="n">
        <x:v>0.05</x:v>
      </x:c>
      <x:c r="G179" s="15" t="n">
        <x:v>28189</x:v>
      </x:c>
      <x:c r="H179" s="15" t="n">
        <x:v>26779.55</x:v>
      </x:c>
      <x:c r="I179" s="15" t="n">
        <x:v>21055</x:v>
      </x:c>
      <x:c r="J179" s="15" t="n">
        <x:v>5724.55</x:v>
      </x:c>
      <x:c r="K179" t="str">
        <x:f>XLOOKUP(B179,Orders!A:A,Orders!E:E,"")</x:f>
        <x:v>North</x:v>
      </x:c>
      <x:c r="L179" t="n">
        <x:f>XLOOKUP(B179,Orders!A:A,Orders!B:B,"")</x:f>
        <x:v>45975</x:v>
      </x:c>
      <x:c r="M179" t="str">
        <x:f>XLOOKUP(C179,Products!A:A,Products!C:C,"")</x:f>
        <x:v>Electronics</x:v>
      </x:c>
    </x:row>
    <x:row r="180">
      <x:c r="A180" s="15" t="str">
        <x:v>ITEM00076_1</x:v>
      </x:c>
      <x:c r="B180" s="15" t="str">
        <x:v>ORD00076</x:v>
      </x:c>
      <x:c r="C180" s="15" t="str">
        <x:v>PROD020</x:v>
      </x:c>
      <x:c r="D180" s="15" t="n">
        <x:v>2</x:v>
      </x:c>
      <x:c r="E180" s="15" t="n">
        <x:v>6564.04</x:v>
      </x:c>
      <x:c r="F180" s="15" t="n">
        <x:v>0.05</x:v>
      </x:c>
      <x:c r="G180" s="15" t="n">
        <x:v>13128.08</x:v>
      </x:c>
      <x:c r="H180" s="15" t="n">
        <x:v>12471.68</x:v>
      </x:c>
      <x:c r="I180" s="15" t="n">
        <x:v>9170</x:v>
      </x:c>
      <x:c r="J180" s="15" t="n">
        <x:v>3301.68</x:v>
      </x:c>
      <x:c r="K180" t="str">
        <x:f>XLOOKUP(B180,Orders!A:A,Orders!E:E,"")</x:f>
        <x:v>East</x:v>
      </x:c>
      <x:c r="L180" t="n">
        <x:f>XLOOKUP(B180,Orders!A:A,Orders!B:B,"")</x:f>
        <x:v>45722</x:v>
      </x:c>
      <x:c r="M180" t="str">
        <x:f>XLOOKUP(C180,Products!A:A,Products!C:C,"")</x:f>
        <x:v>Accessories</x:v>
      </x:c>
    </x:row>
    <x:row r="181">
      <x:c r="A181" s="15" t="str">
        <x:v>ITEM00077_1</x:v>
      </x:c>
      <x:c r="B181" s="15" t="str">
        <x:v>ORD00077</x:v>
      </x:c>
      <x:c r="C181" s="15" t="str">
        <x:v>PROD038</x:v>
      </x:c>
      <x:c r="D181" s="15" t="n">
        <x:v>3</x:v>
      </x:c>
      <x:c r="E181" s="15" t="n">
        <x:v>5219.7</x:v>
      </x:c>
      <x:c r="F181" s="15" t="n">
        <x:v>0.1</x:v>
      </x:c>
      <x:c r="G181" s="15" t="n">
        <x:v>15659.1</x:v>
      </x:c>
      <x:c r="H181" s="15" t="n">
        <x:v>14093.19</x:v>
      </x:c>
      <x:c r="I181" s="15" t="n">
        <x:v>11808</x:v>
      </x:c>
      <x:c r="J181" s="15" t="n">
        <x:v>2285.19</x:v>
      </x:c>
      <x:c r="K181" t="str">
        <x:f>XLOOKUP(B181,Orders!A:A,Orders!E:E,"")</x:f>
        <x:v>West</x:v>
      </x:c>
      <x:c r="L181" t="n">
        <x:f>XLOOKUP(B181,Orders!A:A,Orders!B:B,"")</x:f>
        <x:v>46075</x:v>
      </x:c>
      <x:c r="M181" t="str">
        <x:f>XLOOKUP(C181,Products!A:A,Products!C:C,"")</x:f>
        <x:v>Office Supplies</x:v>
      </x:c>
    </x:row>
    <x:row r="182">
      <x:c r="A182" s="15" t="str">
        <x:v>ITEM00078_1</x:v>
      </x:c>
      <x:c r="B182" s="15" t="str">
        <x:v>ORD00078</x:v>
      </x:c>
      <x:c r="C182" s="15" t="str">
        <x:v>PROD024</x:v>
      </x:c>
      <x:c r="D182" s="15" t="n">
        <x:v>8</x:v>
      </x:c>
      <x:c r="E182" s="15" t="n">
        <x:v>4018</x:v>
      </x:c>
      <x:c r="F182" s="15" t="n">
        <x:v>0.15</x:v>
      </x:c>
      <x:c r="G182" s="15" t="n">
        <x:v>32144</x:v>
      </x:c>
      <x:c r="H182" s="15" t="n">
        <x:v>27322.4</x:v>
      </x:c>
      <x:c r="I182" s="15" t="n">
        <x:v>25536</x:v>
      </x:c>
      <x:c r="J182" s="15" t="n">
        <x:v>1786.4</x:v>
      </x:c>
      <x:c r="K182" t="str">
        <x:f>XLOOKUP(B182,Orders!A:A,Orders!E:E,"")</x:f>
        <x:v>East</x:v>
      </x:c>
      <x:c r="L182" t="n">
        <x:f>XLOOKUP(B182,Orders!A:A,Orders!B:B,"")</x:f>
        <x:v>45776</x:v>
      </x:c>
      <x:c r="M182" t="str">
        <x:f>XLOOKUP(C182,Products!A:A,Products!C:C,"")</x:f>
        <x:v>Furniture</x:v>
      </x:c>
    </x:row>
    <x:row r="183">
      <x:c r="A183" s="15" t="str">
        <x:v>ITEM00078_2</x:v>
      </x:c>
      <x:c r="B183" s="15" t="str">
        <x:v>ORD00078</x:v>
      </x:c>
      <x:c r="C183" s="15" t="str">
        <x:v>PROD032</x:v>
      </x:c>
      <x:c r="D183" s="15" t="n">
        <x:v>3</x:v>
      </x:c>
      <x:c r="E183" s="15" t="n">
        <x:v>6307.06</x:v>
      </x:c>
      <x:c r="F183" s="15" t="n">
        <x:v>0</x:v>
      </x:c>
      <x:c r="G183" s="15" t="n">
        <x:v>18921.18</x:v>
      </x:c>
      <x:c r="H183" s="15" t="n">
        <x:v>18921.18</x:v>
      </x:c>
      <x:c r="I183" s="15" t="n">
        <x:v>15231</x:v>
      </x:c>
      <x:c r="J183" s="15" t="n">
        <x:v>3690.18</x:v>
      </x:c>
      <x:c r="K183" t="str">
        <x:f>XLOOKUP(B183,Orders!A:A,Orders!E:E,"")</x:f>
        <x:v>East</x:v>
      </x:c>
      <x:c r="L183" t="n">
        <x:f>XLOOKUP(B183,Orders!A:A,Orders!B:B,"")</x:f>
        <x:v>45776</x:v>
      </x:c>
      <x:c r="M183" t="str">
        <x:f>XLOOKUP(C183,Products!A:A,Products!C:C,"")</x:f>
        <x:v>Electronics</x:v>
      </x:c>
    </x:row>
    <x:row r="184">
      <x:c r="A184" s="15" t="str">
        <x:v>ITEM00078_3</x:v>
      </x:c>
      <x:c r="B184" s="15" t="str">
        <x:v>ORD00078</x:v>
      </x:c>
      <x:c r="C184" s="15" t="str">
        <x:v>PROD026</x:v>
      </x:c>
      <x:c r="D184" s="15" t="n">
        <x:v>4</x:v>
      </x:c>
      <x:c r="E184" s="15" t="n">
        <x:v>3848.69</x:v>
      </x:c>
      <x:c r="F184" s="15" t="n">
        <x:v>0.05</x:v>
      </x:c>
      <x:c r="G184" s="15" t="n">
        <x:v>15394.76</x:v>
      </x:c>
      <x:c r="H184" s="15" t="n">
        <x:v>14625.02</x:v>
      </x:c>
      <x:c r="I184" s="15" t="n">
        <x:v>10536</x:v>
      </x:c>
      <x:c r="J184" s="15" t="n">
        <x:v>4089.02</x:v>
      </x:c>
      <x:c r="K184" t="str">
        <x:f>XLOOKUP(B184,Orders!A:A,Orders!E:E,"")</x:f>
        <x:v>East</x:v>
      </x:c>
      <x:c r="L184" t="n">
        <x:f>XLOOKUP(B184,Orders!A:A,Orders!B:B,"")</x:f>
        <x:v>45776</x:v>
      </x:c>
      <x:c r="M184" t="str">
        <x:f>XLOOKUP(C184,Products!A:A,Products!C:C,"")</x:f>
        <x:v>Accessories</x:v>
      </x:c>
    </x:row>
    <x:row r="185">
      <x:c r="A185" s="15" t="str">
        <x:v>ITEM00079_1</x:v>
      </x:c>
      <x:c r="B185" s="15" t="str">
        <x:v>ORD00079</x:v>
      </x:c>
      <x:c r="C185" s="15" t="str">
        <x:v>PROD005</x:v>
      </x:c>
      <x:c r="D185" s="15" t="n">
        <x:v>6</x:v>
      </x:c>
      <x:c r="E185" s="15" t="n">
        <x:v>6453.62</x:v>
      </x:c>
      <x:c r="F185" s="15" t="n">
        <x:v>0.05</x:v>
      </x:c>
      <x:c r="G185" s="15" t="n">
        <x:v>38721.72</x:v>
      </x:c>
      <x:c r="H185" s="15" t="n">
        <x:v>36785.63</x:v>
      </x:c>
      <x:c r="I185" s="15" t="n">
        <x:v>29088</x:v>
      </x:c>
      <x:c r="J185" s="15" t="n">
        <x:v>7697.63</x:v>
      </x:c>
      <x:c r="K185" t="str">
        <x:f>XLOOKUP(B185,Orders!A:A,Orders!E:E,"")</x:f>
        <x:v>West</x:v>
      </x:c>
      <x:c r="L185" t="n">
        <x:f>XLOOKUP(B185,Orders!A:A,Orders!B:B,"")</x:f>
        <x:v>45827</x:v>
      </x:c>
      <x:c r="M185" t="str">
        <x:f>XLOOKUP(C185,Products!A:A,Products!C:C,"")</x:f>
        <x:v>Office Supplies</x:v>
      </x:c>
    </x:row>
    <x:row r="186">
      <x:c r="A186" s="15" t="str">
        <x:v>ITEM00079_2</x:v>
      </x:c>
      <x:c r="B186" s="15" t="str">
        <x:v>ORD00079</x:v>
      </x:c>
      <x:c r="C186" s="15" t="str">
        <x:v>PROD019</x:v>
      </x:c>
      <x:c r="D186" s="15" t="n">
        <x:v>4</x:v>
      </x:c>
      <x:c r="E186" s="15" t="n">
        <x:v>5996.29</x:v>
      </x:c>
      <x:c r="F186" s="15" t="n">
        <x:v>0.1</x:v>
      </x:c>
      <x:c r="G186" s="15" t="n">
        <x:v>23985.16</x:v>
      </x:c>
      <x:c r="H186" s="15" t="n">
        <x:v>21586.64</x:v>
      </x:c>
      <x:c r="I186" s="15" t="n">
        <x:v>18040</x:v>
      </x:c>
      <x:c r="J186" s="15" t="n">
        <x:v>3546.64</x:v>
      </x:c>
      <x:c r="K186" t="str">
        <x:f>XLOOKUP(B186,Orders!A:A,Orders!E:E,"")</x:f>
        <x:v>West</x:v>
      </x:c>
      <x:c r="L186" t="n">
        <x:f>XLOOKUP(B186,Orders!A:A,Orders!B:B,"")</x:f>
        <x:v>45827</x:v>
      </x:c>
      <x:c r="M186" t="str">
        <x:f>XLOOKUP(C186,Products!A:A,Products!C:C,"")</x:f>
        <x:v>Electronics</x:v>
      </x:c>
    </x:row>
    <x:row r="187">
      <x:c r="A187" s="15" t="str">
        <x:v>ITEM00079_3</x:v>
      </x:c>
      <x:c r="B187" s="15" t="str">
        <x:v>ORD00079</x:v>
      </x:c>
      <x:c r="C187" s="15" t="str">
        <x:v>PROD004</x:v>
      </x:c>
      <x:c r="D187" s="15" t="n">
        <x:v>3</x:v>
      </x:c>
      <x:c r="E187" s="15" t="n">
        <x:v>5435.39</x:v>
      </x:c>
      <x:c r="F187" s="15" t="n">
        <x:v>0.05</x:v>
      </x:c>
      <x:c r="G187" s="15" t="n">
        <x:v>16306.17</x:v>
      </x:c>
      <x:c r="H187" s="15" t="n">
        <x:v>15490.86</x:v>
      </x:c>
      <x:c r="I187" s="15" t="n">
        <x:v>12423</x:v>
      </x:c>
      <x:c r="J187" s="15" t="n">
        <x:v>3067.86</x:v>
      </x:c>
      <x:c r="K187" t="str">
        <x:f>XLOOKUP(B187,Orders!A:A,Orders!E:E,"")</x:f>
        <x:v>West</x:v>
      </x:c>
      <x:c r="L187" t="n">
        <x:f>XLOOKUP(B187,Orders!A:A,Orders!B:B,"")</x:f>
        <x:v>45827</x:v>
      </x:c>
      <x:c r="M187" t="str">
        <x:f>XLOOKUP(C187,Products!A:A,Products!C:C,"")</x:f>
        <x:v>Office Supplies</x:v>
      </x:c>
    </x:row>
    <x:row r="188">
      <x:c r="A188" s="15" t="str">
        <x:v>ITEM00079_4</x:v>
      </x:c>
      <x:c r="B188" s="15" t="str">
        <x:v>ORD00079</x:v>
      </x:c>
      <x:c r="C188" s="15" t="str">
        <x:v>PROD001</x:v>
      </x:c>
      <x:c r="D188" s="15" t="n">
        <x:v>3</x:v>
      </x:c>
      <x:c r="E188" s="15" t="n">
        <x:v>8672.7</x:v>
      </x:c>
      <x:c r="F188" s="15" t="n">
        <x:v>0.15</x:v>
      </x:c>
      <x:c r="G188" s="15" t="n">
        <x:v>26018.1</x:v>
      </x:c>
      <x:c r="H188" s="15" t="n">
        <x:v>22115.38</x:v>
      </x:c>
      <x:c r="I188" s="15" t="n">
        <x:v>18489</x:v>
      </x:c>
      <x:c r="J188" s="15" t="n">
        <x:v>3626.38</x:v>
      </x:c>
      <x:c r="K188" t="str">
        <x:f>XLOOKUP(B188,Orders!A:A,Orders!E:E,"")</x:f>
        <x:v>West</x:v>
      </x:c>
      <x:c r="L188" t="n">
        <x:f>XLOOKUP(B188,Orders!A:A,Orders!B:B,"")</x:f>
        <x:v>45827</x:v>
      </x:c>
      <x:c r="M188" t="str">
        <x:f>XLOOKUP(C188,Products!A:A,Products!C:C,"")</x:f>
        <x:v>Office Supplies</x:v>
      </x:c>
    </x:row>
    <x:row r="189">
      <x:c r="A189" s="15" t="str">
        <x:v>ITEM00080_1</x:v>
      </x:c>
      <x:c r="B189" s="15" t="str">
        <x:v>ORD00080</x:v>
      </x:c>
      <x:c r="C189" s="15" t="str">
        <x:v>PROD004</x:v>
      </x:c>
      <x:c r="D189" s="15" t="n">
        <x:v>7</x:v>
      </x:c>
      <x:c r="E189" s="15" t="n">
        <x:v>5435.39</x:v>
      </x:c>
      <x:c r="F189" s="15" t="n">
        <x:v>0.1</x:v>
      </x:c>
      <x:c r="G189" s="15" t="n">
        <x:v>38047.73</x:v>
      </x:c>
      <x:c r="H189" s="15" t="n">
        <x:v>34242.96</x:v>
      </x:c>
      <x:c r="I189" s="15" t="n">
        <x:v>28987</x:v>
      </x:c>
      <x:c r="J189" s="15" t="n">
        <x:v>5255.96</x:v>
      </x:c>
      <x:c r="K189" t="str">
        <x:f>XLOOKUP(B189,Orders!A:A,Orders!E:E,"")</x:f>
        <x:v>East</x:v>
      </x:c>
      <x:c r="L189" t="n">
        <x:f>XLOOKUP(B189,Orders!A:A,Orders!B:B,"")</x:f>
        <x:v>46131</x:v>
      </x:c>
      <x:c r="M189" t="str">
        <x:f>XLOOKUP(C189,Products!A:A,Products!C:C,"")</x:f>
        <x:v>Office Supplies</x:v>
      </x:c>
    </x:row>
    <x:row r="190">
      <x:c r="A190" s="15" t="str">
        <x:v>ITEM00080_2</x:v>
      </x:c>
      <x:c r="B190" s="15" t="str">
        <x:v>ORD00080</x:v>
      </x:c>
      <x:c r="C190" s="15" t="str">
        <x:v>PROD030</x:v>
      </x:c>
      <x:c r="D190" s="15" t="n">
        <x:v>7</x:v>
      </x:c>
      <x:c r="E190" s="15" t="n">
        <x:v>5180.7</x:v>
      </x:c>
      <x:c r="F190" s="15" t="n">
        <x:v>0.15</x:v>
      </x:c>
      <x:c r="G190" s="15" t="n">
        <x:v>36264.9</x:v>
      </x:c>
      <x:c r="H190" s="15" t="n">
        <x:v>30825.17</x:v>
      </x:c>
      <x:c r="I190" s="15" t="n">
        <x:v>27216</x:v>
      </x:c>
      <x:c r="J190" s="15" t="n">
        <x:v>3609.17</x:v>
      </x:c>
      <x:c r="K190" t="str">
        <x:f>XLOOKUP(B190,Orders!A:A,Orders!E:E,"")</x:f>
        <x:v>East</x:v>
      </x:c>
      <x:c r="L190" t="n">
        <x:f>XLOOKUP(B190,Orders!A:A,Orders!B:B,"")</x:f>
        <x:v>46131</x:v>
      </x:c>
      <x:c r="M190" t="str">
        <x:f>XLOOKUP(C190,Products!A:A,Products!C:C,"")</x:f>
        <x:v>Office Supplies</x:v>
      </x:c>
    </x:row>
    <x:row r="191">
      <x:c r="A191" s="15" t="str">
        <x:v>ITEM00080_3</x:v>
      </x:c>
      <x:c r="B191" s="15" t="str">
        <x:v>ORD00080</x:v>
      </x:c>
      <x:c r="C191" s="15" t="str">
        <x:v>PROD012</x:v>
      </x:c>
      <x:c r="D191" s="15" t="n">
        <x:v>4</x:v>
      </x:c>
      <x:c r="E191" s="15" t="n">
        <x:v>7989.38</x:v>
      </x:c>
      <x:c r="F191" s="15" t="n">
        <x:v>0</x:v>
      </x:c>
      <x:c r="G191" s="15" t="n">
        <x:v>31957.52</x:v>
      </x:c>
      <x:c r="H191" s="15" t="n">
        <x:v>31957.52</x:v>
      </x:c>
      <x:c r="I191" s="15" t="n">
        <x:v>25940</x:v>
      </x:c>
      <x:c r="J191" s="15" t="n">
        <x:v>6017.52</x:v>
      </x:c>
      <x:c r="K191" t="str">
        <x:f>XLOOKUP(B191,Orders!A:A,Orders!E:E,"")</x:f>
        <x:v>East</x:v>
      </x:c>
      <x:c r="L191" t="n">
        <x:f>XLOOKUP(B191,Orders!A:A,Orders!B:B,"")</x:f>
        <x:v>46131</x:v>
      </x:c>
      <x:c r="M191" t="str">
        <x:f>XLOOKUP(C191,Products!A:A,Products!C:C,"")</x:f>
        <x:v>Electronics</x:v>
      </x:c>
    </x:row>
    <x:row r="192">
      <x:c r="A192" s="15" t="str">
        <x:v>ITEM00080_4</x:v>
      </x:c>
      <x:c r="B192" s="15" t="str">
        <x:v>ORD00080</x:v>
      </x:c>
      <x:c r="C192" s="15" t="str">
        <x:v>PROD024</x:v>
      </x:c>
      <x:c r="D192" s="15" t="n">
        <x:v>2</x:v>
      </x:c>
      <x:c r="E192" s="15" t="n">
        <x:v>4018</x:v>
      </x:c>
      <x:c r="F192" s="15" t="n">
        <x:v>0</x:v>
      </x:c>
      <x:c r="G192" s="15" t="n">
        <x:v>8036</x:v>
      </x:c>
      <x:c r="H192" s="15" t="n">
        <x:v>8036</x:v>
      </x:c>
      <x:c r="I192" s="15" t="n">
        <x:v>6384</x:v>
      </x:c>
      <x:c r="J192" s="15" t="n">
        <x:v>1652</x:v>
      </x:c>
      <x:c r="K192" t="str">
        <x:f>XLOOKUP(B192,Orders!A:A,Orders!E:E,"")</x:f>
        <x:v>East</x:v>
      </x:c>
      <x:c r="L192" t="n">
        <x:f>XLOOKUP(B192,Orders!A:A,Orders!B:B,"")</x:f>
        <x:v>46131</x:v>
      </x:c>
      <x:c r="M192" t="str">
        <x:f>XLOOKUP(C192,Products!A:A,Products!C:C,"")</x:f>
        <x:v>Furniture</x:v>
      </x:c>
    </x:row>
    <x:row r="193">
      <x:c r="A193" s="15" t="str">
        <x:v>ITEM00081_1</x:v>
      </x:c>
      <x:c r="B193" s="15" t="str">
        <x:v>ORD00081</x:v>
      </x:c>
      <x:c r="C193" s="15" t="str">
        <x:v>PROD027</x:v>
      </x:c>
      <x:c r="D193" s="15" t="n">
        <x:v>7</x:v>
      </x:c>
      <x:c r="E193" s="15" t="n">
        <x:v>6979.71</x:v>
      </x:c>
      <x:c r="F193" s="15" t="n">
        <x:v>0.05</x:v>
      </x:c>
      <x:c r="G193" s="15" t="n">
        <x:v>48857.97</x:v>
      </x:c>
      <x:c r="H193" s="15" t="n">
        <x:v>46415.07</x:v>
      </x:c>
      <x:c r="I193" s="15" t="n">
        <x:v>39459</x:v>
      </x:c>
      <x:c r="J193" s="15" t="n">
        <x:v>6956.07</x:v>
      </x:c>
      <x:c r="K193" t="str">
        <x:f>XLOOKUP(B193,Orders!A:A,Orders!E:E,"")</x:f>
        <x:v>North</x:v>
      </x:c>
      <x:c r="L193" t="n">
        <x:f>XLOOKUP(B193,Orders!A:A,Orders!B:B,"")</x:f>
        <x:v>45946</x:v>
      </x:c>
      <x:c r="M193" t="str">
        <x:f>XLOOKUP(C193,Products!A:A,Products!C:C,"")</x:f>
        <x:v>Electronics</x:v>
      </x:c>
    </x:row>
    <x:row r="194">
      <x:c r="A194" s="15" t="str">
        <x:v>ITEM00081_2</x:v>
      </x:c>
      <x:c r="B194" s="15" t="str">
        <x:v>ORD00081</x:v>
      </x:c>
      <x:c r="C194" s="15" t="str">
        <x:v>PROD038</x:v>
      </x:c>
      <x:c r="D194" s="15" t="n">
        <x:v>8</x:v>
      </x:c>
      <x:c r="E194" s="15" t="n">
        <x:v>5219.7</x:v>
      </x:c>
      <x:c r="F194" s="15" t="n">
        <x:v>0.05</x:v>
      </x:c>
      <x:c r="G194" s="15" t="n">
        <x:v>41757.6</x:v>
      </x:c>
      <x:c r="H194" s="15" t="n">
        <x:v>39669.72</x:v>
      </x:c>
      <x:c r="I194" s="15" t="n">
        <x:v>31488</x:v>
      </x:c>
      <x:c r="J194" s="15" t="n">
        <x:v>8181.72</x:v>
      </x:c>
      <x:c r="K194" t="str">
        <x:f>XLOOKUP(B194,Orders!A:A,Orders!E:E,"")</x:f>
        <x:v>North</x:v>
      </x:c>
      <x:c r="L194" t="n">
        <x:f>XLOOKUP(B194,Orders!A:A,Orders!B:B,"")</x:f>
        <x:v>45946</x:v>
      </x:c>
      <x:c r="M194" t="str">
        <x:f>XLOOKUP(C194,Products!A:A,Products!C:C,"")</x:f>
        <x:v>Office Supplies</x:v>
      </x:c>
    </x:row>
    <x:row r="195">
      <x:c r="A195" s="15" t="str">
        <x:v>ITEM00081_3</x:v>
      </x:c>
      <x:c r="B195" s="15" t="str">
        <x:v>ORD00081</x:v>
      </x:c>
      <x:c r="C195" s="15" t="str">
        <x:v>PROD005</x:v>
      </x:c>
      <x:c r="D195" s="15" t="n">
        <x:v>2</x:v>
      </x:c>
      <x:c r="E195" s="15" t="n">
        <x:v>6453.62</x:v>
      </x:c>
      <x:c r="F195" s="15" t="n">
        <x:v>0.1</x:v>
      </x:c>
      <x:c r="G195" s="15" t="n">
        <x:v>12907.24</x:v>
      </x:c>
      <x:c r="H195" s="15" t="n">
        <x:v>11616.52</x:v>
      </x:c>
      <x:c r="I195" s="15" t="n">
        <x:v>9696</x:v>
      </x:c>
      <x:c r="J195" s="15" t="n">
        <x:v>1920.52</x:v>
      </x:c>
      <x:c r="K195" t="str">
        <x:f>XLOOKUP(B195,Orders!A:A,Orders!E:E,"")</x:f>
        <x:v>North</x:v>
      </x:c>
      <x:c r="L195" t="n">
        <x:f>XLOOKUP(B195,Orders!A:A,Orders!B:B,"")</x:f>
        <x:v>45946</x:v>
      </x:c>
      <x:c r="M195" t="str">
        <x:f>XLOOKUP(C195,Products!A:A,Products!C:C,"")</x:f>
        <x:v>Office Supplies</x:v>
      </x:c>
    </x:row>
    <x:row r="196">
      <x:c r="A196" s="15" t="str">
        <x:v>ITEM00081_4</x:v>
      </x:c>
      <x:c r="B196" s="15" t="str">
        <x:v>ORD00081</x:v>
      </x:c>
      <x:c r="C196" s="15" t="str">
        <x:v>PROD015</x:v>
      </x:c>
      <x:c r="D196" s="15" t="n">
        <x:v>5</x:v>
      </x:c>
      <x:c r="E196" s="15" t="n">
        <x:v>5903.1</x:v>
      </x:c>
      <x:c r="F196" s="15" t="n">
        <x:v>0.15</x:v>
      </x:c>
      <x:c r="G196" s="15" t="n">
        <x:v>29515.5</x:v>
      </x:c>
      <x:c r="H196" s="15" t="n">
        <x:v>25088.17</x:v>
      </x:c>
      <x:c r="I196" s="15" t="n">
        <x:v>23925</x:v>
      </x:c>
      <x:c r="J196" s="15" t="n">
        <x:v>1163.17</x:v>
      </x:c>
      <x:c r="K196" t="str">
        <x:f>XLOOKUP(B196,Orders!A:A,Orders!E:E,"")</x:f>
        <x:v>North</x:v>
      </x:c>
      <x:c r="L196" t="n">
        <x:f>XLOOKUP(B196,Orders!A:A,Orders!B:B,"")</x:f>
        <x:v>45946</x:v>
      </x:c>
      <x:c r="M196" t="str">
        <x:f>XLOOKUP(C196,Products!A:A,Products!C:C,"")</x:f>
        <x:v>Electronics</x:v>
      </x:c>
    </x:row>
    <x:row r="197">
      <x:c r="A197" s="15" t="str">
        <x:v>ITEM00082_1</x:v>
      </x:c>
      <x:c r="B197" s="15" t="str">
        <x:v>ORD00082</x:v>
      </x:c>
      <x:c r="C197" s="15" t="str">
        <x:v>PROD040</x:v>
      </x:c>
      <x:c r="D197" s="15" t="n">
        <x:v>1</x:v>
      </x:c>
      <x:c r="E197" s="15" t="n">
        <x:v>8561.07</x:v>
      </x:c>
      <x:c r="F197" s="15" t="n">
        <x:v>0.05</x:v>
      </x:c>
      <x:c r="G197" s="15" t="n">
        <x:v>8561.07</x:v>
      </x:c>
      <x:c r="H197" s="15" t="n">
        <x:v>8133.02</x:v>
      </x:c>
      <x:c r="I197" s="15" t="n">
        <x:v>6841</x:v>
      </x:c>
      <x:c r="J197" s="15" t="n">
        <x:v>1292.02</x:v>
      </x:c>
      <x:c r="K197" t="str">
        <x:f>XLOOKUP(B197,Orders!A:A,Orders!E:E,"")</x:f>
        <x:v>East</x:v>
      </x:c>
      <x:c r="L197" t="n">
        <x:f>XLOOKUP(B197,Orders!A:A,Orders!B:B,"")</x:f>
        <x:v>46102</x:v>
      </x:c>
      <x:c r="M197" t="str">
        <x:f>XLOOKUP(C197,Products!A:A,Products!C:C,"")</x:f>
        <x:v>Electronics</x:v>
      </x:c>
    </x:row>
    <x:row r="198">
      <x:c r="A198" s="15" t="str">
        <x:v>ITEM00082_2</x:v>
      </x:c>
      <x:c r="B198" s="15" t="str">
        <x:v>ORD00082</x:v>
      </x:c>
      <x:c r="C198" s="15" t="str">
        <x:v>PROD024</x:v>
      </x:c>
      <x:c r="D198" s="15" t="n">
        <x:v>4</x:v>
      </x:c>
      <x:c r="E198" s="15" t="n">
        <x:v>4018</x:v>
      </x:c>
      <x:c r="F198" s="15" t="n">
        <x:v>0.05</x:v>
      </x:c>
      <x:c r="G198" s="15" t="n">
        <x:v>16072</x:v>
      </x:c>
      <x:c r="H198" s="15" t="n">
        <x:v>15268.4</x:v>
      </x:c>
      <x:c r="I198" s="15" t="n">
        <x:v>12768</x:v>
      </x:c>
      <x:c r="J198" s="15" t="n">
        <x:v>2500.4</x:v>
      </x:c>
      <x:c r="K198" t="str">
        <x:f>XLOOKUP(B198,Orders!A:A,Orders!E:E,"")</x:f>
        <x:v>East</x:v>
      </x:c>
      <x:c r="L198" t="n">
        <x:f>XLOOKUP(B198,Orders!A:A,Orders!B:B,"")</x:f>
        <x:v>46102</x:v>
      </x:c>
      <x:c r="M198" t="str">
        <x:f>XLOOKUP(C198,Products!A:A,Products!C:C,"")</x:f>
        <x:v>Furniture</x:v>
      </x:c>
    </x:row>
    <x:row r="199">
      <x:c r="A199" s="15" t="str">
        <x:v>ITEM00083_1</x:v>
      </x:c>
      <x:c r="B199" s="15" t="str">
        <x:v>ORD00083</x:v>
      </x:c>
      <x:c r="C199" s="15" t="str">
        <x:v>PROD003</x:v>
      </x:c>
      <x:c r="D199" s="15" t="n">
        <x:v>8</x:v>
      </x:c>
      <x:c r="E199" s="15" t="n">
        <x:v>10757.89</x:v>
      </x:c>
      <x:c r="F199" s="15" t="n">
        <x:v>0.1</x:v>
      </x:c>
      <x:c r="G199" s="15" t="n">
        <x:v>86063.12</x:v>
      </x:c>
      <x:c r="H199" s="15" t="n">
        <x:v>77456.81</x:v>
      </x:c>
      <x:c r="I199" s="15" t="n">
        <x:v>59368</x:v>
      </x:c>
      <x:c r="J199" s="15" t="n">
        <x:v>18088.81</x:v>
      </x:c>
      <x:c r="K199" t="str">
        <x:f>XLOOKUP(B199,Orders!A:A,Orders!E:E,"")</x:f>
        <x:v>West</x:v>
      </x:c>
      <x:c r="L199" t="n">
        <x:f>XLOOKUP(B199,Orders!A:A,Orders!B:B,"")</x:f>
        <x:v>46037</x:v>
      </x:c>
      <x:c r="M199" t="str">
        <x:f>XLOOKUP(C199,Products!A:A,Products!C:C,"")</x:f>
        <x:v>Accessories</x:v>
      </x:c>
    </x:row>
    <x:row r="200">
      <x:c r="A200" s="15" t="str">
        <x:v>ITEM00084_1</x:v>
      </x:c>
      <x:c r="B200" s="15" t="str">
        <x:v>ORD00084</x:v>
      </x:c>
      <x:c r="C200" s="15" t="str">
        <x:v>PROD006</x:v>
      </x:c>
      <x:c r="D200" s="15" t="n">
        <x:v>8</x:v>
      </x:c>
      <x:c r="E200" s="15" t="n">
        <x:v>4261.26</x:v>
      </x:c>
      <x:c r="F200" s="15" t="n">
        <x:v>0</x:v>
      </x:c>
      <x:c r="G200" s="15" t="n">
        <x:v>34090.08</x:v>
      </x:c>
      <x:c r="H200" s="15" t="n">
        <x:v>34090.08</x:v>
      </x:c>
      <x:c r="I200" s="15" t="n">
        <x:v>24536</x:v>
      </x:c>
      <x:c r="J200" s="15" t="n">
        <x:v>9554.08</x:v>
      </x:c>
      <x:c r="K200" t="str">
        <x:f>XLOOKUP(B200,Orders!A:A,Orders!E:E,"")</x:f>
        <x:v>North</x:v>
      </x:c>
      <x:c r="L200" t="n">
        <x:f>XLOOKUP(B200,Orders!A:A,Orders!B:B,"")</x:f>
        <x:v>46046</x:v>
      </x:c>
      <x:c r="M200" t="str">
        <x:f>XLOOKUP(C200,Products!A:A,Products!C:C,"")</x:f>
        <x:v>Office Supplies</x:v>
      </x:c>
    </x:row>
    <x:row r="201">
      <x:c r="A201" s="15" t="str">
        <x:v>ITEM00084_2</x:v>
      </x:c>
      <x:c r="B201" s="15" t="str">
        <x:v>ORD00084</x:v>
      </x:c>
      <x:c r="C201" s="15" t="str">
        <x:v>PROD010</x:v>
      </x:c>
      <x:c r="D201" s="15" t="n">
        <x:v>4</x:v>
      </x:c>
      <x:c r="E201" s="15" t="n">
        <x:v>8670.63</x:v>
      </x:c>
      <x:c r="F201" s="15" t="n">
        <x:v>0</x:v>
      </x:c>
      <x:c r="G201" s="15" t="n">
        <x:v>34682.52</x:v>
      </x:c>
      <x:c r="H201" s="15" t="n">
        <x:v>34682.52</x:v>
      </x:c>
      <x:c r="I201" s="15" t="n">
        <x:v>23412</x:v>
      </x:c>
      <x:c r="J201" s="15" t="n">
        <x:v>11270.52</x:v>
      </x:c>
      <x:c r="K201" t="str">
        <x:f>XLOOKUP(B201,Orders!A:A,Orders!E:E,"")</x:f>
        <x:v>North</x:v>
      </x:c>
      <x:c r="L201" t="n">
        <x:f>XLOOKUP(B201,Orders!A:A,Orders!B:B,"")</x:f>
        <x:v>46046</x:v>
      </x:c>
      <x:c r="M201" t="str">
        <x:f>XLOOKUP(C201,Products!A:A,Products!C:C,"")</x:f>
        <x:v>Accessories</x:v>
      </x:c>
    </x:row>
    <x:row r="202">
      <x:c r="A202" s="15" t="str">
        <x:v>ITEM00085_1</x:v>
      </x:c>
      <x:c r="B202" s="15" t="str">
        <x:v>ORD00085</x:v>
      </x:c>
      <x:c r="C202" s="15" t="str">
        <x:v>PROD023</x:v>
      </x:c>
      <x:c r="D202" s="15" t="n">
        <x:v>3</x:v>
      </x:c>
      <x:c r="E202" s="15" t="n">
        <x:v>5153.56</x:v>
      </x:c>
      <x:c r="F202" s="15" t="n">
        <x:v>0.1</x:v>
      </x:c>
      <x:c r="G202" s="15" t="n">
        <x:v>15460.68</x:v>
      </x:c>
      <x:c r="H202" s="15" t="n">
        <x:v>13914.61</x:v>
      </x:c>
      <x:c r="I202" s="15" t="n">
        <x:v>11874</x:v>
      </x:c>
      <x:c r="J202" s="15" t="n">
        <x:v>2040.61</x:v>
      </x:c>
      <x:c r="K202" t="str">
        <x:f>XLOOKUP(B202,Orders!A:A,Orders!E:E,"")</x:f>
        <x:v>East</x:v>
      </x:c>
      <x:c r="L202" t="n">
        <x:f>XLOOKUP(B202,Orders!A:A,Orders!B:B,"")</x:f>
        <x:v>45738</x:v>
      </x:c>
      <x:c r="M202" t="str">
        <x:f>XLOOKUP(C202,Products!A:A,Products!C:C,"")</x:f>
        <x:v>Electronics</x:v>
      </x:c>
    </x:row>
    <x:row r="203">
      <x:c r="A203" s="15" t="str">
        <x:v>ITEM00086_1</x:v>
      </x:c>
      <x:c r="B203" s="15" t="str">
        <x:v>ORD00086</x:v>
      </x:c>
      <x:c r="C203" s="15" t="str">
        <x:v>PROD034</x:v>
      </x:c>
      <x:c r="D203" s="15" t="n">
        <x:v>7</x:v>
      </x:c>
      <x:c r="E203" s="15" t="n">
        <x:v>5451.76</x:v>
      </x:c>
      <x:c r="F203" s="15" t="n">
        <x:v>0</x:v>
      </x:c>
      <x:c r="G203" s="15" t="n">
        <x:v>38162.32</x:v>
      </x:c>
      <x:c r="H203" s="15" t="n">
        <x:v>38162.32</x:v>
      </x:c>
      <x:c r="I203" s="15" t="n">
        <x:v>26432</x:v>
      </x:c>
      <x:c r="J203" s="15" t="n">
        <x:v>11730.32</x:v>
      </x:c>
      <x:c r="K203" t="str">
        <x:f>XLOOKUP(B203,Orders!A:A,Orders!E:E,"")</x:f>
        <x:v>North</x:v>
      </x:c>
      <x:c r="L203" t="n">
        <x:f>XLOOKUP(B203,Orders!A:A,Orders!B:B,"")</x:f>
        <x:v>46135</x:v>
      </x:c>
      <x:c r="M203" t="str">
        <x:f>XLOOKUP(C203,Products!A:A,Products!C:C,"")</x:f>
        <x:v>Accessories</x:v>
      </x:c>
    </x:row>
    <x:row r="204">
      <x:c r="A204" s="15" t="str">
        <x:v>ITEM00086_2</x:v>
      </x:c>
      <x:c r="B204" s="15" t="str">
        <x:v>ORD00086</x:v>
      </x:c>
      <x:c r="C204" s="15" t="str">
        <x:v>PROD022</x:v>
      </x:c>
      <x:c r="D204" s="15" t="n">
        <x:v>5</x:v>
      </x:c>
      <x:c r="E204" s="15" t="n">
        <x:v>7775.36</x:v>
      </x:c>
      <x:c r="F204" s="15" t="n">
        <x:v>0.1</x:v>
      </x:c>
      <x:c r="G204" s="15" t="n">
        <x:v>38876.8</x:v>
      </x:c>
      <x:c r="H204" s="15" t="n">
        <x:v>34989.12</x:v>
      </x:c>
      <x:c r="I204" s="15" t="n">
        <x:v>31655</x:v>
      </x:c>
      <x:c r="J204" s="15" t="n">
        <x:v>3334.12</x:v>
      </x:c>
      <x:c r="K204" t="str">
        <x:f>XLOOKUP(B204,Orders!A:A,Orders!E:E,"")</x:f>
        <x:v>North</x:v>
      </x:c>
      <x:c r="L204" t="n">
        <x:f>XLOOKUP(B204,Orders!A:A,Orders!B:B,"")</x:f>
        <x:v>46135</x:v>
      </x:c>
      <x:c r="M204" t="str">
        <x:f>XLOOKUP(C204,Products!A:A,Products!C:C,"")</x:f>
        <x:v>Furniture</x:v>
      </x:c>
    </x:row>
    <x:row r="205">
      <x:c r="A205" s="15" t="str">
        <x:v>ITEM00087_1</x:v>
      </x:c>
      <x:c r="B205" s="15" t="str">
        <x:v>ORD00087</x:v>
      </x:c>
      <x:c r="C205" s="15" t="str">
        <x:v>PROD019</x:v>
      </x:c>
      <x:c r="D205" s="15" t="n">
        <x:v>1</x:v>
      </x:c>
      <x:c r="E205" s="15" t="n">
        <x:v>5996.29</x:v>
      </x:c>
      <x:c r="F205" s="15" t="n">
        <x:v>0.15</x:v>
      </x:c>
      <x:c r="G205" s="15" t="n">
        <x:v>5996.29</x:v>
      </x:c>
      <x:c r="H205" s="15" t="n">
        <x:v>5096.85</x:v>
      </x:c>
      <x:c r="I205" s="15" t="n">
        <x:v>4510</x:v>
      </x:c>
      <x:c r="J205" s="15" t="n">
        <x:v>586.85</x:v>
      </x:c>
      <x:c r="K205" t="str">
        <x:f>XLOOKUP(B205,Orders!A:A,Orders!E:E,"")</x:f>
        <x:v>North</x:v>
      </x:c>
      <x:c r="L205" t="n">
        <x:f>XLOOKUP(B205,Orders!A:A,Orders!B:B,"")</x:f>
        <x:v>46026</x:v>
      </x:c>
      <x:c r="M205" t="str">
        <x:f>XLOOKUP(C205,Products!A:A,Products!C:C,"")</x:f>
        <x:v>Electronics</x:v>
      </x:c>
    </x:row>
    <x:row r="206">
      <x:c r="A206" s="15" t="str">
        <x:v>ITEM00087_2</x:v>
      </x:c>
      <x:c r="B206" s="15" t="str">
        <x:v>ORD00087</x:v>
      </x:c>
      <x:c r="C206" s="15" t="str">
        <x:v>PROD026</x:v>
      </x:c>
      <x:c r="D206" s="15" t="n">
        <x:v>2</x:v>
      </x:c>
      <x:c r="E206" s="15" t="n">
        <x:v>3848.69</x:v>
      </x:c>
      <x:c r="F206" s="15" t="n">
        <x:v>0.15</x:v>
      </x:c>
      <x:c r="G206" s="15" t="n">
        <x:v>7697.38</x:v>
      </x:c>
      <x:c r="H206" s="15" t="n">
        <x:v>6542.77</x:v>
      </x:c>
      <x:c r="I206" s="15" t="n">
        <x:v>5268</x:v>
      </x:c>
      <x:c r="J206" s="15" t="n">
        <x:v>1274.77</x:v>
      </x:c>
      <x:c r="K206" t="str">
        <x:f>XLOOKUP(B206,Orders!A:A,Orders!E:E,"")</x:f>
        <x:v>North</x:v>
      </x:c>
      <x:c r="L206" t="n">
        <x:f>XLOOKUP(B206,Orders!A:A,Orders!B:B,"")</x:f>
        <x:v>46026</x:v>
      </x:c>
      <x:c r="M206" t="str">
        <x:f>XLOOKUP(C206,Products!A:A,Products!C:C,"")</x:f>
        <x:v>Accessories</x:v>
      </x:c>
    </x:row>
    <x:row r="207">
      <x:c r="A207" s="15" t="str">
        <x:v>ITEM00087_3</x:v>
      </x:c>
      <x:c r="B207" s="15" t="str">
        <x:v>ORD00087</x:v>
      </x:c>
      <x:c r="C207" s="15" t="str">
        <x:v>PROD023</x:v>
      </x:c>
      <x:c r="D207" s="15" t="n">
        <x:v>7</x:v>
      </x:c>
      <x:c r="E207" s="15" t="n">
        <x:v>5153.56</x:v>
      </x:c>
      <x:c r="F207" s="15" t="n">
        <x:v>0.1</x:v>
      </x:c>
      <x:c r="G207" s="15" t="n">
        <x:v>36074.92</x:v>
      </x:c>
      <x:c r="H207" s="15" t="n">
        <x:v>32467.43</x:v>
      </x:c>
      <x:c r="I207" s="15" t="n">
        <x:v>27706</x:v>
      </x:c>
      <x:c r="J207" s="15" t="n">
        <x:v>4761.43</x:v>
      </x:c>
      <x:c r="K207" t="str">
        <x:f>XLOOKUP(B207,Orders!A:A,Orders!E:E,"")</x:f>
        <x:v>North</x:v>
      </x:c>
      <x:c r="L207" t="n">
        <x:f>XLOOKUP(B207,Orders!A:A,Orders!B:B,"")</x:f>
        <x:v>46026</x:v>
      </x:c>
      <x:c r="M207" t="str">
        <x:f>XLOOKUP(C207,Products!A:A,Products!C:C,"")</x:f>
        <x:v>Electronics</x:v>
      </x:c>
    </x:row>
    <x:row r="208">
      <x:c r="A208" s="15" t="str">
        <x:v>ITEM00088_1</x:v>
      </x:c>
      <x:c r="B208" s="15" t="str">
        <x:v>ORD00088</x:v>
      </x:c>
      <x:c r="C208" s="15" t="str">
        <x:v>PROD010</x:v>
      </x:c>
      <x:c r="D208" s="15" t="n">
        <x:v>5</x:v>
      </x:c>
      <x:c r="E208" s="15" t="n">
        <x:v>8670.63</x:v>
      </x:c>
      <x:c r="F208" s="15" t="n">
        <x:v>0.15</x:v>
      </x:c>
      <x:c r="G208" s="15" t="n">
        <x:v>43353.15</x:v>
      </x:c>
      <x:c r="H208" s="15" t="n">
        <x:v>36850.18</x:v>
      </x:c>
      <x:c r="I208" s="15" t="n">
        <x:v>29265</x:v>
      </x:c>
      <x:c r="J208" s="15" t="n">
        <x:v>7585.18</x:v>
      </x:c>
      <x:c r="K208" t="str">
        <x:f>XLOOKUP(B208,Orders!A:A,Orders!E:E,"")</x:f>
        <x:v>East</x:v>
      </x:c>
      <x:c r="L208" t="n">
        <x:f>XLOOKUP(B208,Orders!A:A,Orders!B:B,"")</x:f>
        <x:v>46144</x:v>
      </x:c>
      <x:c r="M208" t="str">
        <x:f>XLOOKUP(C208,Products!A:A,Products!C:C,"")</x:f>
        <x:v>Accessories</x:v>
      </x:c>
    </x:row>
    <x:row r="209">
      <x:c r="A209" s="15" t="str">
        <x:v>ITEM00088_2</x:v>
      </x:c>
      <x:c r="B209" s="15" t="str">
        <x:v>ORD00088</x:v>
      </x:c>
      <x:c r="C209" s="15" t="str">
        <x:v>PROD002</x:v>
      </x:c>
      <x:c r="D209" s="15" t="n">
        <x:v>1</x:v>
      </x:c>
      <x:c r="E209" s="15" t="n">
        <x:v>4655.92</x:v>
      </x:c>
      <x:c r="F209" s="15" t="n">
        <x:v>0</x:v>
      </x:c>
      <x:c r="G209" s="15" t="n">
        <x:v>4655.92</x:v>
      </x:c>
      <x:c r="H209" s="15" t="n">
        <x:v>4655.92</x:v>
      </x:c>
      <x:c r="I209" s="15" t="n">
        <x:v>3133</x:v>
      </x:c>
      <x:c r="J209" s="15" t="n">
        <x:v>1522.92</x:v>
      </x:c>
      <x:c r="K209" t="str">
        <x:f>XLOOKUP(B209,Orders!A:A,Orders!E:E,"")</x:f>
        <x:v>East</x:v>
      </x:c>
      <x:c r="L209" t="n">
        <x:f>XLOOKUP(B209,Orders!A:A,Orders!B:B,"")</x:f>
        <x:v>46144</x:v>
      </x:c>
      <x:c r="M209" t="str">
        <x:f>XLOOKUP(C209,Products!A:A,Products!C:C,"")</x:f>
        <x:v>Accessories</x:v>
      </x:c>
    </x:row>
    <x:row r="210">
      <x:c r="A210" s="15" t="str">
        <x:v>ITEM00089_1</x:v>
      </x:c>
      <x:c r="B210" s="15" t="str">
        <x:v>ORD00089</x:v>
      </x:c>
      <x:c r="C210" s="15" t="str">
        <x:v>PROD030</x:v>
      </x:c>
      <x:c r="D210" s="15" t="n">
        <x:v>5</x:v>
      </x:c>
      <x:c r="E210" s="15" t="n">
        <x:v>5180.7</x:v>
      </x:c>
      <x:c r="F210" s="15" t="n">
        <x:v>0.05</x:v>
      </x:c>
      <x:c r="G210" s="15" t="n">
        <x:v>25903.5</x:v>
      </x:c>
      <x:c r="H210" s="15" t="n">
        <x:v>24608.32</x:v>
      </x:c>
      <x:c r="I210" s="15" t="n">
        <x:v>19440</x:v>
      </x:c>
      <x:c r="J210" s="15" t="n">
        <x:v>5168.32</x:v>
      </x:c>
      <x:c r="K210" t="str">
        <x:f>XLOOKUP(B210,Orders!A:A,Orders!E:E,"")</x:f>
        <x:v>West</x:v>
      </x:c>
      <x:c r="L210" t="n">
        <x:f>XLOOKUP(B210,Orders!A:A,Orders!B:B,"")</x:f>
        <x:v>45903</x:v>
      </x:c>
      <x:c r="M210" t="str">
        <x:f>XLOOKUP(C210,Products!A:A,Products!C:C,"")</x:f>
        <x:v>Office Supplies</x:v>
      </x:c>
    </x:row>
    <x:row r="211">
      <x:c r="A211" s="15" t="str">
        <x:v>ITEM00089_2</x:v>
      </x:c>
      <x:c r="B211" s="15" t="str">
        <x:v>ORD00089</x:v>
      </x:c>
      <x:c r="C211" s="15" t="str">
        <x:v>PROD028</x:v>
      </x:c>
      <x:c r="D211" s="15" t="n">
        <x:v>6</x:v>
      </x:c>
      <x:c r="E211" s="15" t="n">
        <x:v>4640.74</x:v>
      </x:c>
      <x:c r="F211" s="15" t="n">
        <x:v>0.1</x:v>
      </x:c>
      <x:c r="G211" s="15" t="n">
        <x:v>27844.44</x:v>
      </x:c>
      <x:c r="H211" s="15" t="n">
        <x:v>25060</x:v>
      </x:c>
      <x:c r="I211" s="15" t="n">
        <x:v>21204</x:v>
      </x:c>
      <x:c r="J211" s="15" t="n">
        <x:v>3856</x:v>
      </x:c>
      <x:c r="K211" t="str">
        <x:f>XLOOKUP(B211,Orders!A:A,Orders!E:E,"")</x:f>
        <x:v>West</x:v>
      </x:c>
      <x:c r="L211" t="n">
        <x:f>XLOOKUP(B211,Orders!A:A,Orders!B:B,"")</x:f>
        <x:v>45903</x:v>
      </x:c>
      <x:c r="M211" t="str">
        <x:f>XLOOKUP(C211,Products!A:A,Products!C:C,"")</x:f>
        <x:v>Office Supplies</x:v>
      </x:c>
    </x:row>
    <x:row r="212">
      <x:c r="A212" s="15" t="str">
        <x:v>ITEM00089_3</x:v>
      </x:c>
      <x:c r="B212" s="15" t="str">
        <x:v>ORD00089</x:v>
      </x:c>
      <x:c r="C212" s="15" t="str">
        <x:v>PROD040</x:v>
      </x:c>
      <x:c r="D212" s="15" t="n">
        <x:v>4</x:v>
      </x:c>
      <x:c r="E212" s="15" t="n">
        <x:v>8561.07</x:v>
      </x:c>
      <x:c r="F212" s="15" t="n">
        <x:v>0.1</x:v>
      </x:c>
      <x:c r="G212" s="15" t="n">
        <x:v>34244.28</x:v>
      </x:c>
      <x:c r="H212" s="15" t="n">
        <x:v>30819.85</x:v>
      </x:c>
      <x:c r="I212" s="15" t="n">
        <x:v>27364</x:v>
      </x:c>
      <x:c r="J212" s="15" t="n">
        <x:v>3455.85</x:v>
      </x:c>
      <x:c r="K212" t="str">
        <x:f>XLOOKUP(B212,Orders!A:A,Orders!E:E,"")</x:f>
        <x:v>West</x:v>
      </x:c>
      <x:c r="L212" t="n">
        <x:f>XLOOKUP(B212,Orders!A:A,Orders!B:B,"")</x:f>
        <x:v>45903</x:v>
      </x:c>
      <x:c r="M212" t="str">
        <x:f>XLOOKUP(C212,Products!A:A,Products!C:C,"")</x:f>
        <x:v>Electronics</x:v>
      </x:c>
    </x:row>
    <x:row r="213">
      <x:c r="A213" s="15" t="str">
        <x:v>ITEM00089_4</x:v>
      </x:c>
      <x:c r="B213" s="15" t="str">
        <x:v>ORD00089</x:v>
      </x:c>
      <x:c r="C213" s="15" t="str">
        <x:v>PROD033</x:v>
      </x:c>
      <x:c r="D213" s="15" t="n">
        <x:v>7</x:v>
      </x:c>
      <x:c r="E213" s="15" t="n">
        <x:v>3912.41</x:v>
      </x:c>
      <x:c r="F213" s="15" t="n">
        <x:v>0.05</x:v>
      </x:c>
      <x:c r="G213" s="15" t="n">
        <x:v>27386.87</x:v>
      </x:c>
      <x:c r="H213" s="15" t="n">
        <x:v>26017.53</x:v>
      </x:c>
      <x:c r="I213" s="15" t="n">
        <x:v>20937</x:v>
      </x:c>
      <x:c r="J213" s="15" t="n">
        <x:v>5080.53</x:v>
      </x:c>
      <x:c r="K213" t="str">
        <x:f>XLOOKUP(B213,Orders!A:A,Orders!E:E,"")</x:f>
        <x:v>West</x:v>
      </x:c>
      <x:c r="L213" t="n">
        <x:f>XLOOKUP(B213,Orders!A:A,Orders!B:B,"")</x:f>
        <x:v>45903</x:v>
      </x:c>
      <x:c r="M213" t="str">
        <x:f>XLOOKUP(C213,Products!A:A,Products!C:C,"")</x:f>
        <x:v>Furniture</x:v>
      </x:c>
    </x:row>
    <x:row r="214">
      <x:c r="A214" s="15" t="str">
        <x:v>ITEM00090_1</x:v>
      </x:c>
      <x:c r="B214" s="15" t="str">
        <x:v>ORD00090</x:v>
      </x:c>
      <x:c r="C214" s="15" t="str">
        <x:v>PROD009</x:v>
      </x:c>
      <x:c r="D214" s="15" t="n">
        <x:v>3</x:v>
      </x:c>
      <x:c r="E214" s="15" t="n">
        <x:v>4722.96</x:v>
      </x:c>
      <x:c r="F214" s="15" t="n">
        <x:v>0.15</x:v>
      </x:c>
      <x:c r="G214" s="15" t="n">
        <x:v>14168.88</x:v>
      </x:c>
      <x:c r="H214" s="15" t="n">
        <x:v>12043.55</x:v>
      </x:c>
      <x:c r="I214" s="15" t="n">
        <x:v>9639</x:v>
      </x:c>
      <x:c r="J214" s="15" t="n">
        <x:v>2404.55</x:v>
      </x:c>
      <x:c r="K214" t="str">
        <x:f>XLOOKUP(B214,Orders!A:A,Orders!E:E,"")</x:f>
        <x:v>East</x:v>
      </x:c>
      <x:c r="L214" t="n">
        <x:f>XLOOKUP(B214,Orders!A:A,Orders!B:B,"")</x:f>
        <x:v>45773</x:v>
      </x:c>
      <x:c r="M214" t="str">
        <x:f>XLOOKUP(C214,Products!A:A,Products!C:C,"")</x:f>
        <x:v>Accessories</x:v>
      </x:c>
    </x:row>
    <x:row r="215">
      <x:c r="A215" s="15" t="str">
        <x:v>ITEM00091_1</x:v>
      </x:c>
      <x:c r="B215" s="15" t="str">
        <x:v>ORD00091</x:v>
      </x:c>
      <x:c r="C215" s="15" t="str">
        <x:v>PROD033</x:v>
      </x:c>
      <x:c r="D215" s="15" t="n">
        <x:v>2</x:v>
      </x:c>
      <x:c r="E215" s="15" t="n">
        <x:v>3912.41</x:v>
      </x:c>
      <x:c r="F215" s="15" t="n">
        <x:v>0</x:v>
      </x:c>
      <x:c r="G215" s="15" t="n">
        <x:v>7824.82</x:v>
      </x:c>
      <x:c r="H215" s="15" t="n">
        <x:v>7824.82</x:v>
      </x:c>
      <x:c r="I215" s="15" t="n">
        <x:v>5982</x:v>
      </x:c>
      <x:c r="J215" s="15" t="n">
        <x:v>1842.82</x:v>
      </x:c>
      <x:c r="K215" t="str">
        <x:f>XLOOKUP(B215,Orders!A:A,Orders!E:E,"")</x:f>
        <x:v>South</x:v>
      </x:c>
      <x:c r="L215" t="n">
        <x:f>XLOOKUP(B215,Orders!A:A,Orders!B:B,"")</x:f>
        <x:v>46105</x:v>
      </x:c>
      <x:c r="M215" t="str">
        <x:f>XLOOKUP(C215,Products!A:A,Products!C:C,"")</x:f>
        <x:v>Furniture</x:v>
      </x:c>
    </x:row>
    <x:row r="216">
      <x:c r="A216" s="15" t="str">
        <x:v>ITEM00091_2</x:v>
      </x:c>
      <x:c r="B216" s="15" t="str">
        <x:v>ORD00091</x:v>
      </x:c>
      <x:c r="C216" s="15" t="str">
        <x:v>PROD016</x:v>
      </x:c>
      <x:c r="D216" s="15" t="n">
        <x:v>8</x:v>
      </x:c>
      <x:c r="E216" s="15" t="n">
        <x:v>3884.33</x:v>
      </x:c>
      <x:c r="F216" s="15" t="n">
        <x:v>0.15</x:v>
      </x:c>
      <x:c r="G216" s="15" t="n">
        <x:v>31074.64</x:v>
      </x:c>
      <x:c r="H216" s="15" t="n">
        <x:v>26413.44</x:v>
      </x:c>
      <x:c r="I216" s="15" t="n">
        <x:v>24376</x:v>
      </x:c>
      <x:c r="J216" s="15" t="n">
        <x:v>2037.44</x:v>
      </x:c>
      <x:c r="K216" t="str">
        <x:f>XLOOKUP(B216,Orders!A:A,Orders!E:E,"")</x:f>
        <x:v>South</x:v>
      </x:c>
      <x:c r="L216" t="n">
        <x:f>XLOOKUP(B216,Orders!A:A,Orders!B:B,"")</x:f>
        <x:v>46105</x:v>
      </x:c>
      <x:c r="M216" t="str">
        <x:f>XLOOKUP(C216,Products!A:A,Products!C:C,"")</x:f>
        <x:v>Electronics</x:v>
      </x:c>
    </x:row>
    <x:row r="217">
      <x:c r="A217" s="15" t="str">
        <x:v>ITEM00091_3</x:v>
      </x:c>
      <x:c r="B217" s="15" t="str">
        <x:v>ORD00091</x:v>
      </x:c>
      <x:c r="C217" s="15" t="str">
        <x:v>PROD012</x:v>
      </x:c>
      <x:c r="D217" s="15" t="n">
        <x:v>4</x:v>
      </x:c>
      <x:c r="E217" s="15" t="n">
        <x:v>7989.38</x:v>
      </x:c>
      <x:c r="F217" s="15" t="n">
        <x:v>0.05</x:v>
      </x:c>
      <x:c r="G217" s="15" t="n">
        <x:v>31957.52</x:v>
      </x:c>
      <x:c r="H217" s="15" t="n">
        <x:v>30359.64</x:v>
      </x:c>
      <x:c r="I217" s="15" t="n">
        <x:v>25940</x:v>
      </x:c>
      <x:c r="J217" s="15" t="n">
        <x:v>4419.64</x:v>
      </x:c>
      <x:c r="K217" t="str">
        <x:f>XLOOKUP(B217,Orders!A:A,Orders!E:E,"")</x:f>
        <x:v>South</x:v>
      </x:c>
      <x:c r="L217" t="n">
        <x:f>XLOOKUP(B217,Orders!A:A,Orders!B:B,"")</x:f>
        <x:v>46105</x:v>
      </x:c>
      <x:c r="M217" t="str">
        <x:f>XLOOKUP(C217,Products!A:A,Products!C:C,"")</x:f>
        <x:v>Electronics</x:v>
      </x:c>
    </x:row>
    <x:row r="218">
      <x:c r="A218" s="15" t="str">
        <x:v>ITEM00091_4</x:v>
      </x:c>
      <x:c r="B218" s="15" t="str">
        <x:v>ORD00091</x:v>
      </x:c>
      <x:c r="C218" s="15" t="str">
        <x:v>PROD024</x:v>
      </x:c>
      <x:c r="D218" s="15" t="n">
        <x:v>3</x:v>
      </x:c>
      <x:c r="E218" s="15" t="n">
        <x:v>4018</x:v>
      </x:c>
      <x:c r="F218" s="15" t="n">
        <x:v>0.05</x:v>
      </x:c>
      <x:c r="G218" s="15" t="n">
        <x:v>12054</x:v>
      </x:c>
      <x:c r="H218" s="15" t="n">
        <x:v>11451.3</x:v>
      </x:c>
      <x:c r="I218" s="15" t="n">
        <x:v>9576</x:v>
      </x:c>
      <x:c r="J218" s="15" t="n">
        <x:v>1875.3</x:v>
      </x:c>
      <x:c r="K218" t="str">
        <x:f>XLOOKUP(B218,Orders!A:A,Orders!E:E,"")</x:f>
        <x:v>South</x:v>
      </x:c>
      <x:c r="L218" t="n">
        <x:f>XLOOKUP(B218,Orders!A:A,Orders!B:B,"")</x:f>
        <x:v>46105</x:v>
      </x:c>
      <x:c r="M218" t="str">
        <x:f>XLOOKUP(C218,Products!A:A,Products!C:C,"")</x:f>
        <x:v>Furniture</x:v>
      </x:c>
    </x:row>
    <x:row r="219">
      <x:c r="A219" s="15" t="str">
        <x:v>ITEM00092_1</x:v>
      </x:c>
      <x:c r="B219" s="15" t="str">
        <x:v>ORD00092</x:v>
      </x:c>
      <x:c r="C219" s="15" t="str">
        <x:v>PROD033</x:v>
      </x:c>
      <x:c r="D219" s="15" t="n">
        <x:v>3</x:v>
      </x:c>
      <x:c r="E219" s="15" t="n">
        <x:v>3912.41</x:v>
      </x:c>
      <x:c r="F219" s="15" t="n">
        <x:v>0.1</x:v>
      </x:c>
      <x:c r="G219" s="15" t="n">
        <x:v>11737.23</x:v>
      </x:c>
      <x:c r="H219" s="15" t="n">
        <x:v>10563.51</x:v>
      </x:c>
      <x:c r="I219" s="15" t="n">
        <x:v>8973</x:v>
      </x:c>
      <x:c r="J219" s="15" t="n">
        <x:v>1590.51</x:v>
      </x:c>
      <x:c r="K219" t="str">
        <x:f>XLOOKUP(B219,Orders!A:A,Orders!E:E,"")</x:f>
        <x:v>West</x:v>
      </x:c>
      <x:c r="L219" t="n">
        <x:f>XLOOKUP(B219,Orders!A:A,Orders!B:B,"")</x:f>
        <x:v>46150</x:v>
      </x:c>
      <x:c r="M219" t="str">
        <x:f>XLOOKUP(C219,Products!A:A,Products!C:C,"")</x:f>
        <x:v>Furniture</x:v>
      </x:c>
    </x:row>
    <x:row r="220">
      <x:c r="A220" s="15" t="str">
        <x:v>ITEM00093_1</x:v>
      </x:c>
      <x:c r="B220" s="15" t="str">
        <x:v>ORD00093</x:v>
      </x:c>
      <x:c r="C220" s="15" t="str">
        <x:v>PROD019</x:v>
      </x:c>
      <x:c r="D220" s="15" t="n">
        <x:v>8</x:v>
      </x:c>
      <x:c r="E220" s="15" t="n">
        <x:v>5996.29</x:v>
      </x:c>
      <x:c r="F220" s="15" t="n">
        <x:v>0</x:v>
      </x:c>
      <x:c r="G220" s="15" t="n">
        <x:v>47970.32</x:v>
      </x:c>
      <x:c r="H220" s="15" t="n">
        <x:v>47970.32</x:v>
      </x:c>
      <x:c r="I220" s="15" t="n">
        <x:v>36080</x:v>
      </x:c>
      <x:c r="J220" s="15" t="n">
        <x:v>11890.32</x:v>
      </x:c>
      <x:c r="K220" t="str">
        <x:f>XLOOKUP(B220,Orders!A:A,Orders!E:E,"")</x:f>
        <x:v>South</x:v>
      </x:c>
      <x:c r="L220" t="n">
        <x:f>XLOOKUP(B220,Orders!A:A,Orders!B:B,"")</x:f>
        <x:v>45833</x:v>
      </x:c>
      <x:c r="M220" t="str">
        <x:f>XLOOKUP(C220,Products!A:A,Products!C:C,"")</x:f>
        <x:v>Electronics</x:v>
      </x:c>
    </x:row>
    <x:row r="221">
      <x:c r="A221" s="15" t="str">
        <x:v>ITEM00093_2</x:v>
      </x:c>
      <x:c r="B221" s="15" t="str">
        <x:v>ORD00093</x:v>
      </x:c>
      <x:c r="C221" s="15" t="str">
        <x:v>PROD019</x:v>
      </x:c>
      <x:c r="D221" s="15" t="n">
        <x:v>1</x:v>
      </x:c>
      <x:c r="E221" s="15" t="n">
        <x:v>5996.29</x:v>
      </x:c>
      <x:c r="F221" s="15" t="n">
        <x:v>0</x:v>
      </x:c>
      <x:c r="G221" s="15" t="n">
        <x:v>5996.29</x:v>
      </x:c>
      <x:c r="H221" s="15" t="n">
        <x:v>5996.29</x:v>
      </x:c>
      <x:c r="I221" s="15" t="n">
        <x:v>4510</x:v>
      </x:c>
      <x:c r="J221" s="15" t="n">
        <x:v>1486.29</x:v>
      </x:c>
      <x:c r="K221" t="str">
        <x:f>XLOOKUP(B221,Orders!A:A,Orders!E:E,"")</x:f>
        <x:v>South</x:v>
      </x:c>
      <x:c r="L221" t="n">
        <x:f>XLOOKUP(B221,Orders!A:A,Orders!B:B,"")</x:f>
        <x:v>45833</x:v>
      </x:c>
      <x:c r="M221" t="str">
        <x:f>XLOOKUP(C221,Products!A:A,Products!C:C,"")</x:f>
        <x:v>Electronics</x:v>
      </x:c>
    </x:row>
    <x:row r="222">
      <x:c r="A222" s="15" t="str">
        <x:v>ITEM00094_1</x:v>
      </x:c>
      <x:c r="B222" s="15" t="str">
        <x:v>ORD00094</x:v>
      </x:c>
      <x:c r="C222" s="15" t="str">
        <x:v>PROD034</x:v>
      </x:c>
      <x:c r="D222" s="15" t="n">
        <x:v>1</x:v>
      </x:c>
      <x:c r="E222" s="15" t="n">
        <x:v>5451.76</x:v>
      </x:c>
      <x:c r="F222" s="15" t="n">
        <x:v>0.05</x:v>
      </x:c>
      <x:c r="G222" s="15" t="n">
        <x:v>5451.76</x:v>
      </x:c>
      <x:c r="H222" s="15" t="n">
        <x:v>5179.17</x:v>
      </x:c>
      <x:c r="I222" s="15" t="n">
        <x:v>3776</x:v>
      </x:c>
      <x:c r="J222" s="15" t="n">
        <x:v>1403.17</x:v>
      </x:c>
      <x:c r="K222" t="str">
        <x:f>XLOOKUP(B222,Orders!A:A,Orders!E:E,"")</x:f>
        <x:v>South</x:v>
      </x:c>
      <x:c r="L222" t="n">
        <x:f>XLOOKUP(B222,Orders!A:A,Orders!B:B,"")</x:f>
        <x:v>45838</x:v>
      </x:c>
      <x:c r="M222" t="str">
        <x:f>XLOOKUP(C222,Products!A:A,Products!C:C,"")</x:f>
        <x:v>Accessories</x:v>
      </x:c>
    </x:row>
    <x:row r="223">
      <x:c r="A223" s="15" t="str">
        <x:v>ITEM00094_2</x:v>
      </x:c>
      <x:c r="B223" s="15" t="str">
        <x:v>ORD00094</x:v>
      </x:c>
      <x:c r="C223" s="15" t="str">
        <x:v>PROD029</x:v>
      </x:c>
      <x:c r="D223" s="15" t="n">
        <x:v>4</x:v>
      </x:c>
      <x:c r="E223" s="15" t="n">
        <x:v>8430.77</x:v>
      </x:c>
      <x:c r="F223" s="15" t="n">
        <x:v>0</x:v>
      </x:c>
      <x:c r="G223" s="15" t="n">
        <x:v>33723.08</x:v>
      </x:c>
      <x:c r="H223" s="15" t="n">
        <x:v>33723.08</x:v>
      </x:c>
      <x:c r="I223" s="15" t="n">
        <x:v>24740</x:v>
      </x:c>
      <x:c r="J223" s="15" t="n">
        <x:v>8983.08</x:v>
      </x:c>
      <x:c r="K223" t="str">
        <x:f>XLOOKUP(B223,Orders!A:A,Orders!E:E,"")</x:f>
        <x:v>South</x:v>
      </x:c>
      <x:c r="L223" t="n">
        <x:f>XLOOKUP(B223,Orders!A:A,Orders!B:B,"")</x:f>
        <x:v>45838</x:v>
      </x:c>
      <x:c r="M223" t="str">
        <x:f>XLOOKUP(C223,Products!A:A,Products!C:C,"")</x:f>
        <x:v>Office Supplies</x:v>
      </x:c>
    </x:row>
    <x:row r="224">
      <x:c r="A224" s="15" t="str">
        <x:v>ITEM00094_3</x:v>
      </x:c>
      <x:c r="B224" s="15" t="str">
        <x:v>ORD00094</x:v>
      </x:c>
      <x:c r="C224" s="15" t="str">
        <x:v>PROD026</x:v>
      </x:c>
      <x:c r="D224" s="15" t="n">
        <x:v>8</x:v>
      </x:c>
      <x:c r="E224" s="15" t="n">
        <x:v>3848.69</x:v>
      </x:c>
      <x:c r="F224" s="15" t="n">
        <x:v>0</x:v>
      </x:c>
      <x:c r="G224" s="15" t="n">
        <x:v>30789.52</x:v>
      </x:c>
      <x:c r="H224" s="15" t="n">
        <x:v>30789.52</x:v>
      </x:c>
      <x:c r="I224" s="15" t="n">
        <x:v>21072</x:v>
      </x:c>
      <x:c r="J224" s="15" t="n">
        <x:v>9717.52</x:v>
      </x:c>
      <x:c r="K224" t="str">
        <x:f>XLOOKUP(B224,Orders!A:A,Orders!E:E,"")</x:f>
        <x:v>South</x:v>
      </x:c>
      <x:c r="L224" t="n">
        <x:f>XLOOKUP(B224,Orders!A:A,Orders!B:B,"")</x:f>
        <x:v>45838</x:v>
      </x:c>
      <x:c r="M224" t="str">
        <x:f>XLOOKUP(C224,Products!A:A,Products!C:C,"")</x:f>
        <x:v>Accessories</x:v>
      </x:c>
    </x:row>
    <x:row r="225">
      <x:c r="A225" s="15" t="str">
        <x:v>ITEM00095_1</x:v>
      </x:c>
      <x:c r="B225" s="15" t="str">
        <x:v>ORD00095</x:v>
      </x:c>
      <x:c r="C225" s="15" t="str">
        <x:v>PROD022</x:v>
      </x:c>
      <x:c r="D225" s="15" t="n">
        <x:v>7</x:v>
      </x:c>
      <x:c r="E225" s="15" t="n">
        <x:v>7775.36</x:v>
      </x:c>
      <x:c r="F225" s="15" t="n">
        <x:v>0</x:v>
      </x:c>
      <x:c r="G225" s="15" t="n">
        <x:v>54427.52</x:v>
      </x:c>
      <x:c r="H225" s="15" t="n">
        <x:v>54427.52</x:v>
      </x:c>
      <x:c r="I225" s="15" t="n">
        <x:v>44317</x:v>
      </x:c>
      <x:c r="J225" s="15" t="n">
        <x:v>10110.52</x:v>
      </x:c>
      <x:c r="K225" t="str">
        <x:f>XLOOKUP(B225,Orders!A:A,Orders!E:E,"")</x:f>
        <x:v>East</x:v>
      </x:c>
      <x:c r="L225" t="n">
        <x:f>XLOOKUP(B225,Orders!A:A,Orders!B:B,"")</x:f>
        <x:v>45845</x:v>
      </x:c>
      <x:c r="M225" t="str">
        <x:f>XLOOKUP(C225,Products!A:A,Products!C:C,"")</x:f>
        <x:v>Furniture</x:v>
      </x:c>
    </x:row>
    <x:row r="226">
      <x:c r="A226" s="15" t="str">
        <x:v>ITEM00096_1</x:v>
      </x:c>
      <x:c r="B226" s="15" t="str">
        <x:v>ORD00096</x:v>
      </x:c>
      <x:c r="C226" s="15" t="str">
        <x:v>PROD005</x:v>
      </x:c>
      <x:c r="D226" s="15" t="n">
        <x:v>5</x:v>
      </x:c>
      <x:c r="E226" s="15" t="n">
        <x:v>6453.62</x:v>
      </x:c>
      <x:c r="F226" s="15" t="n">
        <x:v>0.05</x:v>
      </x:c>
      <x:c r="G226" s="15" t="n">
        <x:v>32268.1</x:v>
      </x:c>
      <x:c r="H226" s="15" t="n">
        <x:v>30654.69</x:v>
      </x:c>
      <x:c r="I226" s="15" t="n">
        <x:v>24240</x:v>
      </x:c>
      <x:c r="J226" s="15" t="n">
        <x:v>6414.69</x:v>
      </x:c>
      <x:c r="K226" t="str">
        <x:f>XLOOKUP(B226,Orders!A:A,Orders!E:E,"")</x:f>
        <x:v>West</x:v>
      </x:c>
      <x:c r="L226" t="n">
        <x:f>XLOOKUP(B226,Orders!A:A,Orders!B:B,"")</x:f>
        <x:v>45846</x:v>
      </x:c>
      <x:c r="M226" t="str">
        <x:f>XLOOKUP(C226,Products!A:A,Products!C:C,"")</x:f>
        <x:v>Office Supplies</x:v>
      </x:c>
    </x:row>
    <x:row r="227">
      <x:c r="A227" s="15" t="str">
        <x:v>ITEM00096_2</x:v>
      </x:c>
      <x:c r="B227" s="15" t="str">
        <x:v>ORD00096</x:v>
      </x:c>
      <x:c r="C227" s="15" t="str">
        <x:v>PROD009</x:v>
      </x:c>
      <x:c r="D227" s="15" t="n">
        <x:v>7</x:v>
      </x:c>
      <x:c r="E227" s="15" t="n">
        <x:v>4722.96</x:v>
      </x:c>
      <x:c r="F227" s="15" t="n">
        <x:v>0.1</x:v>
      </x:c>
      <x:c r="G227" s="15" t="n">
        <x:v>33060.72</x:v>
      </x:c>
      <x:c r="H227" s="15" t="n">
        <x:v>29754.65</x:v>
      </x:c>
      <x:c r="I227" s="15" t="n">
        <x:v>22491</x:v>
      </x:c>
      <x:c r="J227" s="15" t="n">
        <x:v>7263.65</x:v>
      </x:c>
      <x:c r="K227" t="str">
        <x:f>XLOOKUP(B227,Orders!A:A,Orders!E:E,"")</x:f>
        <x:v>West</x:v>
      </x:c>
      <x:c r="L227" t="n">
        <x:f>XLOOKUP(B227,Orders!A:A,Orders!B:B,"")</x:f>
        <x:v>45846</x:v>
      </x:c>
      <x:c r="M227" t="str">
        <x:f>XLOOKUP(C227,Products!A:A,Products!C:C,"")</x:f>
        <x:v>Accessories</x:v>
      </x:c>
    </x:row>
    <x:row r="228">
      <x:c r="A228" s="15" t="str">
        <x:v>ITEM00096_3</x:v>
      </x:c>
      <x:c r="B228" s="15" t="str">
        <x:v>ORD00096</x:v>
      </x:c>
      <x:c r="C228" s="15" t="str">
        <x:v>PROD035</x:v>
      </x:c>
      <x:c r="D228" s="15" t="n">
        <x:v>8</x:v>
      </x:c>
      <x:c r="E228" s="15" t="n">
        <x:v>3972.26</x:v>
      </x:c>
      <x:c r="F228" s="15" t="n">
        <x:v>0.05</x:v>
      </x:c>
      <x:c r="G228" s="15" t="n">
        <x:v>31778.08</x:v>
      </x:c>
      <x:c r="H228" s="15" t="n">
        <x:v>30189.18</x:v>
      </x:c>
      <x:c r="I228" s="15" t="n">
        <x:v>25496</x:v>
      </x:c>
      <x:c r="J228" s="15" t="n">
        <x:v>4693.18</x:v>
      </x:c>
      <x:c r="K228" t="str">
        <x:f>XLOOKUP(B228,Orders!A:A,Orders!E:E,"")</x:f>
        <x:v>West</x:v>
      </x:c>
      <x:c r="L228" t="n">
        <x:f>XLOOKUP(B228,Orders!A:A,Orders!B:B,"")</x:f>
        <x:v>45846</x:v>
      </x:c>
      <x:c r="M228" t="str">
        <x:f>XLOOKUP(C228,Products!A:A,Products!C:C,"")</x:f>
        <x:v>Electronics</x:v>
      </x:c>
    </x:row>
    <x:row r="229">
      <x:c r="A229" s="15" t="str">
        <x:v>ITEM00096_4</x:v>
      </x:c>
      <x:c r="B229" s="15" t="str">
        <x:v>ORD00096</x:v>
      </x:c>
      <x:c r="C229" s="15" t="str">
        <x:v>PROD023</x:v>
      </x:c>
      <x:c r="D229" s="15" t="n">
        <x:v>1</x:v>
      </x:c>
      <x:c r="E229" s="15" t="n">
        <x:v>5153.56</x:v>
      </x:c>
      <x:c r="F229" s="15" t="n">
        <x:v>0.1</x:v>
      </x:c>
      <x:c r="G229" s="15" t="n">
        <x:v>5153.56</x:v>
      </x:c>
      <x:c r="H229" s="15" t="n">
        <x:v>4638.2</x:v>
      </x:c>
      <x:c r="I229" s="15" t="n">
        <x:v>3958</x:v>
      </x:c>
      <x:c r="J229" s="15" t="n">
        <x:v>680.2</x:v>
      </x:c>
      <x:c r="K229" t="str">
        <x:f>XLOOKUP(B229,Orders!A:A,Orders!E:E,"")</x:f>
        <x:v>West</x:v>
      </x:c>
      <x:c r="L229" t="n">
        <x:f>XLOOKUP(B229,Orders!A:A,Orders!B:B,"")</x:f>
        <x:v>45846</x:v>
      </x:c>
      <x:c r="M229" t="str">
        <x:f>XLOOKUP(C229,Products!A:A,Products!C:C,"")</x:f>
        <x:v>Electronics</x:v>
      </x:c>
    </x:row>
    <x:row r="230">
      <x:c r="A230" s="15" t="str">
        <x:v>ITEM00097_1</x:v>
      </x:c>
      <x:c r="B230" s="15" t="str">
        <x:v>ORD00097</x:v>
      </x:c>
      <x:c r="C230" s="15" t="str">
        <x:v>PROD040</x:v>
      </x:c>
      <x:c r="D230" s="15" t="n">
        <x:v>1</x:v>
      </x:c>
      <x:c r="E230" s="15" t="n">
        <x:v>8561.07</x:v>
      </x:c>
      <x:c r="F230" s="15" t="n">
        <x:v>0</x:v>
      </x:c>
      <x:c r="G230" s="15" t="n">
        <x:v>8561.07</x:v>
      </x:c>
      <x:c r="H230" s="15" t="n">
        <x:v>8561.07</x:v>
      </x:c>
      <x:c r="I230" s="15" t="n">
        <x:v>6841</x:v>
      </x:c>
      <x:c r="J230" s="15" t="n">
        <x:v>1720.07</x:v>
      </x:c>
      <x:c r="K230" t="str">
        <x:f>XLOOKUP(B230,Orders!A:A,Orders!E:E,"")</x:f>
        <x:v>East</x:v>
      </x:c>
      <x:c r="L230" t="n">
        <x:f>XLOOKUP(B230,Orders!A:A,Orders!B:B,"")</x:f>
        <x:v>45735</x:v>
      </x:c>
      <x:c r="M230" t="str">
        <x:f>XLOOKUP(C230,Products!A:A,Products!C:C,"")</x:f>
        <x:v>Electronics</x:v>
      </x:c>
    </x:row>
    <x:row r="231">
      <x:c r="A231" s="15" t="str">
        <x:v>ITEM00097_2</x:v>
      </x:c>
      <x:c r="B231" s="15" t="str">
        <x:v>ORD00097</x:v>
      </x:c>
      <x:c r="C231" s="15" t="str">
        <x:v>PROD012</x:v>
      </x:c>
      <x:c r="D231" s="15" t="n">
        <x:v>8</x:v>
      </x:c>
      <x:c r="E231" s="15" t="n">
        <x:v>7989.38</x:v>
      </x:c>
      <x:c r="F231" s="15" t="n">
        <x:v>0.1</x:v>
      </x:c>
      <x:c r="G231" s="15" t="n">
        <x:v>63915.04</x:v>
      </x:c>
      <x:c r="H231" s="15" t="n">
        <x:v>57523.54</x:v>
      </x:c>
      <x:c r="I231" s="15" t="n">
        <x:v>51880</x:v>
      </x:c>
      <x:c r="J231" s="15" t="n">
        <x:v>5643.54</x:v>
      </x:c>
      <x:c r="K231" t="str">
        <x:f>XLOOKUP(B231,Orders!A:A,Orders!E:E,"")</x:f>
        <x:v>East</x:v>
      </x:c>
      <x:c r="L231" t="n">
        <x:f>XLOOKUP(B231,Orders!A:A,Orders!B:B,"")</x:f>
        <x:v>45735</x:v>
      </x:c>
      <x:c r="M231" t="str">
        <x:f>XLOOKUP(C231,Products!A:A,Products!C:C,"")</x:f>
        <x:v>Electronics</x:v>
      </x:c>
    </x:row>
    <x:row r="232">
      <x:c r="A232" s="15" t="str">
        <x:v>ITEM00097_3</x:v>
      </x:c>
      <x:c r="B232" s="15" t="str">
        <x:v>ORD00097</x:v>
      </x:c>
      <x:c r="C232" s="15" t="str">
        <x:v>PROD024</x:v>
      </x:c>
      <x:c r="D232" s="15" t="n">
        <x:v>3</x:v>
      </x:c>
      <x:c r="E232" s="15" t="n">
        <x:v>4018</x:v>
      </x:c>
      <x:c r="F232" s="15" t="n">
        <x:v>0.05</x:v>
      </x:c>
      <x:c r="G232" s="15" t="n">
        <x:v>12054</x:v>
      </x:c>
      <x:c r="H232" s="15" t="n">
        <x:v>11451.3</x:v>
      </x:c>
      <x:c r="I232" s="15" t="n">
        <x:v>9576</x:v>
      </x:c>
      <x:c r="J232" s="15" t="n">
        <x:v>1875.3</x:v>
      </x:c>
      <x:c r="K232" t="str">
        <x:f>XLOOKUP(B232,Orders!A:A,Orders!E:E,"")</x:f>
        <x:v>East</x:v>
      </x:c>
      <x:c r="L232" t="n">
        <x:f>XLOOKUP(B232,Orders!A:A,Orders!B:B,"")</x:f>
        <x:v>45735</x:v>
      </x:c>
      <x:c r="M232" t="str">
        <x:f>XLOOKUP(C232,Products!A:A,Products!C:C,"")</x:f>
        <x:v>Furniture</x:v>
      </x:c>
    </x:row>
    <x:row r="233">
      <x:c r="A233" s="15" t="str">
        <x:v>ITEM00098_1</x:v>
      </x:c>
      <x:c r="B233" s="15" t="str">
        <x:v>ORD00098</x:v>
      </x:c>
      <x:c r="C233" s="15" t="str">
        <x:v>PROD001</x:v>
      </x:c>
      <x:c r="D233" s="15" t="n">
        <x:v>7</x:v>
      </x:c>
      <x:c r="E233" s="15" t="n">
        <x:v>8672.7</x:v>
      </x:c>
      <x:c r="F233" s="15" t="n">
        <x:v>0.1</x:v>
      </x:c>
      <x:c r="G233" s="15" t="n">
        <x:v>60708.9</x:v>
      </x:c>
      <x:c r="H233" s="15" t="n">
        <x:v>54638.01</x:v>
      </x:c>
      <x:c r="I233" s="15" t="n">
        <x:v>43141</x:v>
      </x:c>
      <x:c r="J233" s="15" t="n">
        <x:v>11497.01</x:v>
      </x:c>
      <x:c r="K233" t="str">
        <x:f>XLOOKUP(B233,Orders!A:A,Orders!E:E,"")</x:f>
        <x:v>West</x:v>
      </x:c>
      <x:c r="L233" t="n">
        <x:f>XLOOKUP(B233,Orders!A:A,Orders!B:B,"")</x:f>
        <x:v>46086</x:v>
      </x:c>
      <x:c r="M233" t="str">
        <x:f>XLOOKUP(C233,Products!A:A,Products!C:C,"")</x:f>
        <x:v>Office Supplies</x:v>
      </x:c>
    </x:row>
    <x:row r="234">
      <x:c r="A234" s="15" t="str">
        <x:v>ITEM00098_2</x:v>
      </x:c>
      <x:c r="B234" s="15" t="str">
        <x:v>ORD00098</x:v>
      </x:c>
      <x:c r="C234" s="15" t="str">
        <x:v>PROD014</x:v>
      </x:c>
      <x:c r="D234" s="15" t="n">
        <x:v>6</x:v>
      </x:c>
      <x:c r="E234" s="15" t="n">
        <x:v>1611.65</x:v>
      </x:c>
      <x:c r="F234" s="15" t="n">
        <x:v>0.1</x:v>
      </x:c>
      <x:c r="G234" s="15" t="n">
        <x:v>9669.9</x:v>
      </x:c>
      <x:c r="H234" s="15" t="n">
        <x:v>8702.91</x:v>
      </x:c>
      <x:c r="I234" s="15" t="n">
        <x:v>7398</x:v>
      </x:c>
      <x:c r="J234" s="15" t="n">
        <x:v>1304.91</x:v>
      </x:c>
      <x:c r="K234" t="str">
        <x:f>XLOOKUP(B234,Orders!A:A,Orders!E:E,"")</x:f>
        <x:v>West</x:v>
      </x:c>
      <x:c r="L234" t="n">
        <x:f>XLOOKUP(B234,Orders!A:A,Orders!B:B,"")</x:f>
        <x:v>46086</x:v>
      </x:c>
      <x:c r="M234" t="str">
        <x:f>XLOOKUP(C234,Products!A:A,Products!C:C,"")</x:f>
        <x:v>Office Supplies</x:v>
      </x:c>
    </x:row>
    <x:row r="235">
      <x:c r="A235" s="15" t="str">
        <x:v>ITEM00099_1</x:v>
      </x:c>
      <x:c r="B235" s="15" t="str">
        <x:v>ORD00099</x:v>
      </x:c>
      <x:c r="C235" s="15" t="str">
        <x:v>PROD013</x:v>
      </x:c>
      <x:c r="D235" s="15" t="n">
        <x:v>4</x:v>
      </x:c>
      <x:c r="E235" s="15" t="n">
        <x:v>7614.02</x:v>
      </x:c>
      <x:c r="F235" s="15" t="n">
        <x:v>0.05</x:v>
      </x:c>
      <x:c r="G235" s="15" t="n">
        <x:v>30456.08</x:v>
      </x:c>
      <x:c r="H235" s="15" t="n">
        <x:v>28933.28</x:v>
      </x:c>
      <x:c r="I235" s="15" t="n">
        <x:v>24308</x:v>
      </x:c>
      <x:c r="J235" s="15" t="n">
        <x:v>4625.28</x:v>
      </x:c>
      <x:c r="K235" t="str">
        <x:f>XLOOKUP(B235,Orders!A:A,Orders!E:E,"")</x:f>
        <x:v>West</x:v>
      </x:c>
      <x:c r="L235" t="n">
        <x:f>XLOOKUP(B235,Orders!A:A,Orders!B:B,"")</x:f>
        <x:v>45702</x:v>
      </x:c>
      <x:c r="M235" t="str">
        <x:f>XLOOKUP(C235,Products!A:A,Products!C:C,"")</x:f>
        <x:v>Furniture</x:v>
      </x:c>
    </x:row>
    <x:row r="236">
      <x:c r="A236" s="15" t="str">
        <x:v>ITEM00099_2</x:v>
      </x:c>
      <x:c r="B236" s="15" t="str">
        <x:v>ORD00099</x:v>
      </x:c>
      <x:c r="C236" s="15" t="str">
        <x:v>PROD038</x:v>
      </x:c>
      <x:c r="D236" s="15" t="n">
        <x:v>7</x:v>
      </x:c>
      <x:c r="E236" s="15" t="n">
        <x:v>5219.7</x:v>
      </x:c>
      <x:c r="F236" s="15" t="n">
        <x:v>0.15</x:v>
      </x:c>
      <x:c r="G236" s="15" t="n">
        <x:v>36537.9</x:v>
      </x:c>
      <x:c r="H236" s="15" t="n">
        <x:v>31057.22</x:v>
      </x:c>
      <x:c r="I236" s="15" t="n">
        <x:v>27552</x:v>
      </x:c>
      <x:c r="J236" s="15" t="n">
        <x:v>3505.22</x:v>
      </x:c>
      <x:c r="K236" t="str">
        <x:f>XLOOKUP(B236,Orders!A:A,Orders!E:E,"")</x:f>
        <x:v>West</x:v>
      </x:c>
      <x:c r="L236" t="n">
        <x:f>XLOOKUP(B236,Orders!A:A,Orders!B:B,"")</x:f>
        <x:v>45702</x:v>
      </x:c>
      <x:c r="M236" t="str">
        <x:f>XLOOKUP(C236,Products!A:A,Products!C:C,"")</x:f>
        <x:v>Office Supplies</x:v>
      </x:c>
    </x:row>
    <x:row r="237">
      <x:c r="A237" s="15" t="str">
        <x:v>ITEM00099_3</x:v>
      </x:c>
      <x:c r="B237" s="15" t="str">
        <x:v>ORD00099</x:v>
      </x:c>
      <x:c r="C237" s="15" t="str">
        <x:v>PROD034</x:v>
      </x:c>
      <x:c r="D237" s="15" t="n">
        <x:v>7</x:v>
      </x:c>
      <x:c r="E237" s="15" t="n">
        <x:v>5451.76</x:v>
      </x:c>
      <x:c r="F237" s="15" t="n">
        <x:v>0</x:v>
      </x:c>
      <x:c r="G237" s="15" t="n">
        <x:v>38162.32</x:v>
      </x:c>
      <x:c r="H237" s="15" t="n">
        <x:v>38162.32</x:v>
      </x:c>
      <x:c r="I237" s="15" t="n">
        <x:v>26432</x:v>
      </x:c>
      <x:c r="J237" s="15" t="n">
        <x:v>11730.32</x:v>
      </x:c>
      <x:c r="K237" t="str">
        <x:f>XLOOKUP(B237,Orders!A:A,Orders!E:E,"")</x:f>
        <x:v>West</x:v>
      </x:c>
      <x:c r="L237" t="n">
        <x:f>XLOOKUP(B237,Orders!A:A,Orders!B:B,"")</x:f>
        <x:v>45702</x:v>
      </x:c>
      <x:c r="M237" t="str">
        <x:f>XLOOKUP(C237,Products!A:A,Products!C:C,"")</x:f>
        <x:v>Accessories</x:v>
      </x:c>
    </x:row>
    <x:row r="238">
      <x:c r="A238" s="15" t="str">
        <x:v>ITEM00099_4</x:v>
      </x:c>
      <x:c r="B238" s="15" t="str">
        <x:v>ORD00099</x:v>
      </x:c>
      <x:c r="C238" s="15" t="str">
        <x:v>PROD026</x:v>
      </x:c>
      <x:c r="D238" s="15" t="n">
        <x:v>6</x:v>
      </x:c>
      <x:c r="E238" s="15" t="n">
        <x:v>3848.69</x:v>
      </x:c>
      <x:c r="F238" s="15" t="n">
        <x:v>0</x:v>
      </x:c>
      <x:c r="G238" s="15" t="n">
        <x:v>23092.14</x:v>
      </x:c>
      <x:c r="H238" s="15" t="n">
        <x:v>23092.14</x:v>
      </x:c>
      <x:c r="I238" s="15" t="n">
        <x:v>15804</x:v>
      </x:c>
      <x:c r="J238" s="15" t="n">
        <x:v>7288.14</x:v>
      </x:c>
      <x:c r="K238" t="str">
        <x:f>XLOOKUP(B238,Orders!A:A,Orders!E:E,"")</x:f>
        <x:v>West</x:v>
      </x:c>
      <x:c r="L238" t="n">
        <x:f>XLOOKUP(B238,Orders!A:A,Orders!B:B,"")</x:f>
        <x:v>45702</x:v>
      </x:c>
      <x:c r="M238" t="str">
        <x:f>XLOOKUP(C238,Products!A:A,Products!C:C,"")</x:f>
        <x:v>Accessories</x:v>
      </x:c>
    </x:row>
    <x:row r="239">
      <x:c r="A239" s="15" t="str">
        <x:v>ITEM00100_1</x:v>
      </x:c>
      <x:c r="B239" s="15" t="str">
        <x:v>ORD00100</x:v>
      </x:c>
      <x:c r="C239" s="15" t="str">
        <x:v>PROD011</x:v>
      </x:c>
      <x:c r="D239" s="15" t="n">
        <x:v>3</x:v>
      </x:c>
      <x:c r="E239" s="15" t="n">
        <x:v>7135.27</x:v>
      </x:c>
      <x:c r="F239" s="15" t="n">
        <x:v>0</x:v>
      </x:c>
      <x:c r="G239" s="15" t="n">
        <x:v>21405.81</x:v>
      </x:c>
      <x:c r="H239" s="15" t="n">
        <x:v>21405.81</x:v>
      </x:c>
      <x:c r="I239" s="15" t="n">
        <x:v>15609</x:v>
      </x:c>
      <x:c r="J239" s="15" t="n">
        <x:v>5796.81</x:v>
      </x:c>
      <x:c r="K239" t="str">
        <x:f>XLOOKUP(B239,Orders!A:A,Orders!E:E,"")</x:f>
        <x:v>North</x:v>
      </x:c>
      <x:c r="L239" t="n">
        <x:f>XLOOKUP(B239,Orders!A:A,Orders!B:B,"")</x:f>
        <x:v>46073</x:v>
      </x:c>
      <x:c r="M239" t="str">
        <x:f>XLOOKUP(C239,Products!A:A,Products!C:C,"")</x:f>
        <x:v>Accessories</x:v>
      </x:c>
    </x:row>
    <x:row r="240">
      <x:c r="A240" s="15" t="str">
        <x:v>ITEM00100_2</x:v>
      </x:c>
      <x:c r="B240" s="15" t="str">
        <x:v>ORD00100</x:v>
      </x:c>
      <x:c r="C240" s="15" t="str">
        <x:v>PROD019</x:v>
      </x:c>
      <x:c r="D240" s="15" t="n">
        <x:v>6</x:v>
      </x:c>
      <x:c r="E240" s="15" t="n">
        <x:v>5996.29</x:v>
      </x:c>
      <x:c r="F240" s="15" t="n">
        <x:v>0.05</x:v>
      </x:c>
      <x:c r="G240" s="15" t="n">
        <x:v>35977.74</x:v>
      </x:c>
      <x:c r="H240" s="15" t="n">
        <x:v>34178.85</x:v>
      </x:c>
      <x:c r="I240" s="15" t="n">
        <x:v>27060</x:v>
      </x:c>
      <x:c r="J240" s="15" t="n">
        <x:v>7118.85</x:v>
      </x:c>
      <x:c r="K240" t="str">
        <x:f>XLOOKUP(B240,Orders!A:A,Orders!E:E,"")</x:f>
        <x:v>North</x:v>
      </x:c>
      <x:c r="L240" t="n">
        <x:f>XLOOKUP(B240,Orders!A:A,Orders!B:B,"")</x:f>
        <x:v>46073</x:v>
      </x:c>
      <x:c r="M240" t="str">
        <x:f>XLOOKUP(C240,Products!A:A,Products!C:C,"")</x:f>
        <x:v>Electronics</x:v>
      </x:c>
    </x:row>
    <x:row r="241">
      <x:c r="A241" s="15" t="str">
        <x:v>ITEM00100_3</x:v>
      </x:c>
      <x:c r="B241" s="15" t="str">
        <x:v>ORD00100</x:v>
      </x:c>
      <x:c r="C241" s="15" t="str">
        <x:v>PROD014</x:v>
      </x:c>
      <x:c r="D241" s="15" t="n">
        <x:v>7</x:v>
      </x:c>
      <x:c r="E241" s="15" t="n">
        <x:v>1611.65</x:v>
      </x:c>
      <x:c r="F241" s="15" t="n">
        <x:v>0</x:v>
      </x:c>
      <x:c r="G241" s="15" t="n">
        <x:v>11281.55</x:v>
      </x:c>
      <x:c r="H241" s="15" t="n">
        <x:v>11281.55</x:v>
      </x:c>
      <x:c r="I241" s="15" t="n">
        <x:v>8631</x:v>
      </x:c>
      <x:c r="J241" s="15" t="n">
        <x:v>2650.55</x:v>
      </x:c>
      <x:c r="K241" t="str">
        <x:f>XLOOKUP(B241,Orders!A:A,Orders!E:E,"")</x:f>
        <x:v>North</x:v>
      </x:c>
      <x:c r="L241" t="n">
        <x:f>XLOOKUP(B241,Orders!A:A,Orders!B:B,"")</x:f>
        <x:v>46073</x:v>
      </x:c>
      <x:c r="M241" t="str">
        <x:f>XLOOKUP(C241,Products!A:A,Products!C:C,"")</x:f>
        <x:v>Office Supplies</x:v>
      </x:c>
    </x:row>
    <x:row r="242">
      <x:c r="A242" s="15" t="str">
        <x:v>ITEM00101_1</x:v>
      </x:c>
      <x:c r="B242" s="15" t="str">
        <x:v>ORD00101</x:v>
      </x:c>
      <x:c r="C242" s="15" t="str">
        <x:v>PROD020</x:v>
      </x:c>
      <x:c r="D242" s="15" t="n">
        <x:v>1</x:v>
      </x:c>
      <x:c r="E242" s="15" t="n">
        <x:v>6564.04</x:v>
      </x:c>
      <x:c r="F242" s="15" t="n">
        <x:v>0</x:v>
      </x:c>
      <x:c r="G242" s="15" t="n">
        <x:v>6564.04</x:v>
      </x:c>
      <x:c r="H242" s="15" t="n">
        <x:v>6564.04</x:v>
      </x:c>
      <x:c r="I242" s="15" t="n">
        <x:v>4585</x:v>
      </x:c>
      <x:c r="J242" s="15" t="n">
        <x:v>1979.04</x:v>
      </x:c>
      <x:c r="K242" t="str">
        <x:f>XLOOKUP(B242,Orders!A:A,Orders!E:E,"")</x:f>
        <x:v>West</x:v>
      </x:c>
      <x:c r="L242" t="n">
        <x:f>XLOOKUP(B242,Orders!A:A,Orders!B:B,"")</x:f>
        <x:v>45744</x:v>
      </x:c>
      <x:c r="M242" t="str">
        <x:f>XLOOKUP(C242,Products!A:A,Products!C:C,"")</x:f>
        <x:v>Accessories</x:v>
      </x:c>
    </x:row>
    <x:row r="243">
      <x:c r="A243" s="15" t="str">
        <x:v>ITEM00101_2</x:v>
      </x:c>
      <x:c r="B243" s="15" t="str">
        <x:v>ORD00101</x:v>
      </x:c>
      <x:c r="C243" s="15" t="str">
        <x:v>PROD028</x:v>
      </x:c>
      <x:c r="D243" s="15" t="n">
        <x:v>2</x:v>
      </x:c>
      <x:c r="E243" s="15" t="n">
        <x:v>4640.74</x:v>
      </x:c>
      <x:c r="F243" s="15" t="n">
        <x:v>0</x:v>
      </x:c>
      <x:c r="G243" s="15" t="n">
        <x:v>9281.48</x:v>
      </x:c>
      <x:c r="H243" s="15" t="n">
        <x:v>9281.48</x:v>
      </x:c>
      <x:c r="I243" s="15" t="n">
        <x:v>7068</x:v>
      </x:c>
      <x:c r="J243" s="15" t="n">
        <x:v>2213.48</x:v>
      </x:c>
      <x:c r="K243" t="str">
        <x:f>XLOOKUP(B243,Orders!A:A,Orders!E:E,"")</x:f>
        <x:v>West</x:v>
      </x:c>
      <x:c r="L243" t="n">
        <x:f>XLOOKUP(B243,Orders!A:A,Orders!B:B,"")</x:f>
        <x:v>45744</x:v>
      </x:c>
      <x:c r="M243" t="str">
        <x:f>XLOOKUP(C243,Products!A:A,Products!C:C,"")</x:f>
        <x:v>Office Supplies</x:v>
      </x:c>
    </x:row>
    <x:row r="244">
      <x:c r="A244" s="15" t="str">
        <x:v>ITEM00102_1</x:v>
      </x:c>
      <x:c r="B244" s="15" t="str">
        <x:v>ORD00102</x:v>
      </x:c>
      <x:c r="C244" s="15" t="str">
        <x:v>PROD017</x:v>
      </x:c>
      <x:c r="D244" s="15" t="n">
        <x:v>6</x:v>
      </x:c>
      <x:c r="E244" s="15" t="n">
        <x:v>7311.62</x:v>
      </x:c>
      <x:c r="F244" s="15" t="n">
        <x:v>0</x:v>
      </x:c>
      <x:c r="G244" s="15" t="n">
        <x:v>43869.72</x:v>
      </x:c>
      <x:c r="H244" s="15" t="n">
        <x:v>43869.72</x:v>
      </x:c>
      <x:c r="I244" s="15" t="n">
        <x:v>31548</x:v>
      </x:c>
      <x:c r="J244" s="15" t="n">
        <x:v>12321.72</x:v>
      </x:c>
      <x:c r="K244" t="str">
        <x:f>XLOOKUP(B244,Orders!A:A,Orders!E:E,"")</x:f>
        <x:v>South</x:v>
      </x:c>
      <x:c r="L244" t="n">
        <x:f>XLOOKUP(B244,Orders!A:A,Orders!B:B,"")</x:f>
        <x:v>46130</x:v>
      </x:c>
      <x:c r="M244" t="str">
        <x:f>XLOOKUP(C244,Products!A:A,Products!C:C,"")</x:f>
        <x:v>Accessories</x:v>
      </x:c>
    </x:row>
    <x:row r="245">
      <x:c r="A245" s="15" t="str">
        <x:v>ITEM00102_2</x:v>
      </x:c>
      <x:c r="B245" s="15" t="str">
        <x:v>ORD00102</x:v>
      </x:c>
      <x:c r="C245" s="15" t="str">
        <x:v>PROD037</x:v>
      </x:c>
      <x:c r="D245" s="15" t="n">
        <x:v>4</x:v>
      </x:c>
      <x:c r="E245" s="15" t="n">
        <x:v>9876.8</x:v>
      </x:c>
      <x:c r="F245" s="15" t="n">
        <x:v>0.1</x:v>
      </x:c>
      <x:c r="G245" s="15" t="n">
        <x:v>39507.2</x:v>
      </x:c>
      <x:c r="H245" s="15" t="n">
        <x:v>35556.48</x:v>
      </x:c>
      <x:c r="I245" s="15" t="n">
        <x:v>28496</x:v>
      </x:c>
      <x:c r="J245" s="15" t="n">
        <x:v>7060.48</x:v>
      </x:c>
      <x:c r="K245" t="str">
        <x:f>XLOOKUP(B245,Orders!A:A,Orders!E:E,"")</x:f>
        <x:v>South</x:v>
      </x:c>
      <x:c r="L245" t="n">
        <x:f>XLOOKUP(B245,Orders!A:A,Orders!B:B,"")</x:f>
        <x:v>46130</x:v>
      </x:c>
      <x:c r="M245" t="str">
        <x:f>XLOOKUP(C245,Products!A:A,Products!C:C,"")</x:f>
        <x:v>Accessories</x:v>
      </x:c>
    </x:row>
    <x:row r="246">
      <x:c r="A246" s="15" t="str">
        <x:v>ITEM00102_3</x:v>
      </x:c>
      <x:c r="B246" s="15" t="str">
        <x:v>ORD00102</x:v>
      </x:c>
      <x:c r="C246" s="15" t="str">
        <x:v>PROD018</x:v>
      </x:c>
      <x:c r="D246" s="15" t="n">
        <x:v>4</x:v>
      </x:c>
      <x:c r="E246" s="15" t="n">
        <x:v>5637.8</x:v>
      </x:c>
      <x:c r="F246" s="15" t="n">
        <x:v>0.15</x:v>
      </x:c>
      <x:c r="G246" s="15" t="n">
        <x:v>22551.2</x:v>
      </x:c>
      <x:c r="H246" s="15" t="n">
        <x:v>19168.52</x:v>
      </x:c>
      <x:c r="I246" s="15" t="n">
        <x:v>16844</x:v>
      </x:c>
      <x:c r="J246" s="15" t="n">
        <x:v>2324.52</x:v>
      </x:c>
      <x:c r="K246" t="str">
        <x:f>XLOOKUP(B246,Orders!A:A,Orders!E:E,"")</x:f>
        <x:v>South</x:v>
      </x:c>
      <x:c r="L246" t="n">
        <x:f>XLOOKUP(B246,Orders!A:A,Orders!B:B,"")</x:f>
        <x:v>46130</x:v>
      </x:c>
      <x:c r="M246" t="str">
        <x:f>XLOOKUP(C246,Products!A:A,Products!C:C,"")</x:f>
        <x:v>Electronics</x:v>
      </x:c>
    </x:row>
    <x:row r="247">
      <x:c r="A247" s="15" t="str">
        <x:v>ITEM00103_1</x:v>
      </x:c>
      <x:c r="B247" s="15" t="str">
        <x:v>ORD00103</x:v>
      </x:c>
      <x:c r="C247" s="15" t="str">
        <x:v>PROD003</x:v>
      </x:c>
      <x:c r="D247" s="15" t="n">
        <x:v>5</x:v>
      </x:c>
      <x:c r="E247" s="15" t="n">
        <x:v>10757.89</x:v>
      </x:c>
      <x:c r="F247" s="15" t="n">
        <x:v>0.05</x:v>
      </x:c>
      <x:c r="G247" s="15" t="n">
        <x:v>53789.45</x:v>
      </x:c>
      <x:c r="H247" s="15" t="n">
        <x:v>51099.98</x:v>
      </x:c>
      <x:c r="I247" s="15" t="n">
        <x:v>37105</x:v>
      </x:c>
      <x:c r="J247" s="15" t="n">
        <x:v>13994.98</x:v>
      </x:c>
      <x:c r="K247" t="str">
        <x:f>XLOOKUP(B247,Orders!A:A,Orders!E:E,"")</x:f>
        <x:v>South</x:v>
      </x:c>
      <x:c r="L247" t="n">
        <x:f>XLOOKUP(B247,Orders!A:A,Orders!B:B,"")</x:f>
        <x:v>45699</x:v>
      </x:c>
      <x:c r="M247" t="str">
        <x:f>XLOOKUP(C247,Products!A:A,Products!C:C,"")</x:f>
        <x:v>Accessories</x:v>
      </x:c>
    </x:row>
    <x:row r="248">
      <x:c r="A248" s="15" t="str">
        <x:v>ITEM00103_2</x:v>
      </x:c>
      <x:c r="B248" s="15" t="str">
        <x:v>ORD00103</x:v>
      </x:c>
      <x:c r="C248" s="15" t="str">
        <x:v>PROD023</x:v>
      </x:c>
      <x:c r="D248" s="15" t="n">
        <x:v>2</x:v>
      </x:c>
      <x:c r="E248" s="15" t="n">
        <x:v>5153.56</x:v>
      </x:c>
      <x:c r="F248" s="15" t="n">
        <x:v>0</x:v>
      </x:c>
      <x:c r="G248" s="15" t="n">
        <x:v>10307.12</x:v>
      </x:c>
      <x:c r="H248" s="15" t="n">
        <x:v>10307.12</x:v>
      </x:c>
      <x:c r="I248" s="15" t="n">
        <x:v>7916</x:v>
      </x:c>
      <x:c r="J248" s="15" t="n">
        <x:v>2391.12</x:v>
      </x:c>
      <x:c r="K248" t="str">
        <x:f>XLOOKUP(B248,Orders!A:A,Orders!E:E,"")</x:f>
        <x:v>South</x:v>
      </x:c>
      <x:c r="L248" t="n">
        <x:f>XLOOKUP(B248,Orders!A:A,Orders!B:B,"")</x:f>
        <x:v>45699</x:v>
      </x:c>
      <x:c r="M248" t="str">
        <x:f>XLOOKUP(C248,Products!A:A,Products!C:C,"")</x:f>
        <x:v>Electronics</x:v>
      </x:c>
    </x:row>
    <x:row r="249">
      <x:c r="A249" s="15" t="str">
        <x:v>ITEM00104_1</x:v>
      </x:c>
      <x:c r="B249" s="15" t="str">
        <x:v>ORD00104</x:v>
      </x:c>
      <x:c r="C249" s="15" t="str">
        <x:v>PROD010</x:v>
      </x:c>
      <x:c r="D249" s="15" t="n">
        <x:v>4</x:v>
      </x:c>
      <x:c r="E249" s="15" t="n">
        <x:v>8670.63</x:v>
      </x:c>
      <x:c r="F249" s="15" t="n">
        <x:v>0.05</x:v>
      </x:c>
      <x:c r="G249" s="15" t="n">
        <x:v>34682.52</x:v>
      </x:c>
      <x:c r="H249" s="15" t="n">
        <x:v>32948.39</x:v>
      </x:c>
      <x:c r="I249" s="15" t="n">
        <x:v>23412</x:v>
      </x:c>
      <x:c r="J249" s="15" t="n">
        <x:v>9536.39</x:v>
      </x:c>
      <x:c r="K249" t="str">
        <x:f>XLOOKUP(B249,Orders!A:A,Orders!E:E,"")</x:f>
        <x:v>East</x:v>
      </x:c>
      <x:c r="L249" t="n">
        <x:f>XLOOKUP(B249,Orders!A:A,Orders!B:B,"")</x:f>
        <x:v>46036</x:v>
      </x:c>
      <x:c r="M249" t="str">
        <x:f>XLOOKUP(C249,Products!A:A,Products!C:C,"")</x:f>
        <x:v>Accessories</x:v>
      </x:c>
    </x:row>
    <x:row r="250">
      <x:c r="A250" s="15" t="str">
        <x:v>ITEM00104_2</x:v>
      </x:c>
      <x:c r="B250" s="15" t="str">
        <x:v>ORD00104</x:v>
      </x:c>
      <x:c r="C250" s="15" t="str">
        <x:v>PROD005</x:v>
      </x:c>
      <x:c r="D250" s="15" t="n">
        <x:v>7</x:v>
      </x:c>
      <x:c r="E250" s="15" t="n">
        <x:v>6453.62</x:v>
      </x:c>
      <x:c r="F250" s="15" t="n">
        <x:v>0</x:v>
      </x:c>
      <x:c r="G250" s="15" t="n">
        <x:v>45175.34</x:v>
      </x:c>
      <x:c r="H250" s="15" t="n">
        <x:v>45175.34</x:v>
      </x:c>
      <x:c r="I250" s="15" t="n">
        <x:v>33936</x:v>
      </x:c>
      <x:c r="J250" s="15" t="n">
        <x:v>11239.34</x:v>
      </x:c>
      <x:c r="K250" t="str">
        <x:f>XLOOKUP(B250,Orders!A:A,Orders!E:E,"")</x:f>
        <x:v>East</x:v>
      </x:c>
      <x:c r="L250" t="n">
        <x:f>XLOOKUP(B250,Orders!A:A,Orders!B:B,"")</x:f>
        <x:v>46036</x:v>
      </x:c>
      <x:c r="M250" t="str">
        <x:f>XLOOKUP(C250,Products!A:A,Products!C:C,"")</x:f>
        <x:v>Office Supplies</x:v>
      </x:c>
    </x:row>
    <x:row r="251">
      <x:c r="A251" s="15" t="str">
        <x:v>ITEM00105_1</x:v>
      </x:c>
      <x:c r="B251" s="15" t="str">
        <x:v>ORD00105</x:v>
      </x:c>
      <x:c r="C251" s="15" t="str">
        <x:v>PROD001</x:v>
      </x:c>
      <x:c r="D251" s="15" t="n">
        <x:v>7</x:v>
      </x:c>
      <x:c r="E251" s="15" t="n">
        <x:v>8672.7</x:v>
      </x:c>
      <x:c r="F251" s="15" t="n">
        <x:v>0.15</x:v>
      </x:c>
      <x:c r="G251" s="15" t="n">
        <x:v>60708.9</x:v>
      </x:c>
      <x:c r="H251" s="15" t="n">
        <x:v>51602.57</x:v>
      </x:c>
      <x:c r="I251" s="15" t="n">
        <x:v>43141</x:v>
      </x:c>
      <x:c r="J251" s="15" t="n">
        <x:v>8461.57</x:v>
      </x:c>
      <x:c r="K251" t="str">
        <x:f>XLOOKUP(B251,Orders!A:A,Orders!E:E,"")</x:f>
        <x:v>West</x:v>
      </x:c>
      <x:c r="L251" t="n">
        <x:f>XLOOKUP(B251,Orders!A:A,Orders!B:B,"")</x:f>
        <x:v>45892</x:v>
      </x:c>
      <x:c r="M251" t="str">
        <x:f>XLOOKUP(C251,Products!A:A,Products!C:C,"")</x:f>
        <x:v>Office Supplies</x:v>
      </x:c>
    </x:row>
    <x:row r="252">
      <x:c r="A252" s="15" t="str">
        <x:v>ITEM00106_1</x:v>
      </x:c>
      <x:c r="B252" s="15" t="str">
        <x:v>ORD00106</x:v>
      </x:c>
      <x:c r="C252" s="15" t="str">
        <x:v>PROD027</x:v>
      </x:c>
      <x:c r="D252" s="15" t="n">
        <x:v>5</x:v>
      </x:c>
      <x:c r="E252" s="15" t="n">
        <x:v>6979.71</x:v>
      </x:c>
      <x:c r="F252" s="15" t="n">
        <x:v>0</x:v>
      </x:c>
      <x:c r="G252" s="15" t="n">
        <x:v>34898.55</x:v>
      </x:c>
      <x:c r="H252" s="15" t="n">
        <x:v>34898.55</x:v>
      </x:c>
      <x:c r="I252" s="15" t="n">
        <x:v>28185</x:v>
      </x:c>
      <x:c r="J252" s="15" t="n">
        <x:v>6713.55</x:v>
      </x:c>
      <x:c r="K252" t="str">
        <x:f>XLOOKUP(B252,Orders!A:A,Orders!E:E,"")</x:f>
        <x:v>North</x:v>
      </x:c>
      <x:c r="L252" t="n">
        <x:f>XLOOKUP(B252,Orders!A:A,Orders!B:B,"")</x:f>
        <x:v>45901</x:v>
      </x:c>
      <x:c r="M252" t="str">
        <x:f>XLOOKUP(C252,Products!A:A,Products!C:C,"")</x:f>
        <x:v>Electronics</x:v>
      </x:c>
    </x:row>
    <x:row r="253">
      <x:c r="A253" s="15" t="str">
        <x:v>ITEM00106_2</x:v>
      </x:c>
      <x:c r="B253" s="15" t="str">
        <x:v>ORD00106</x:v>
      </x:c>
      <x:c r="C253" s="15" t="str">
        <x:v>PROD020</x:v>
      </x:c>
      <x:c r="D253" s="15" t="n">
        <x:v>3</x:v>
      </x:c>
      <x:c r="E253" s="15" t="n">
        <x:v>6564.04</x:v>
      </x:c>
      <x:c r="F253" s="15" t="n">
        <x:v>0</x:v>
      </x:c>
      <x:c r="G253" s="15" t="n">
        <x:v>19692.12</x:v>
      </x:c>
      <x:c r="H253" s="15" t="n">
        <x:v>19692.12</x:v>
      </x:c>
      <x:c r="I253" s="15" t="n">
        <x:v>13755</x:v>
      </x:c>
      <x:c r="J253" s="15" t="n">
        <x:v>5937.12</x:v>
      </x:c>
      <x:c r="K253" t="str">
        <x:f>XLOOKUP(B253,Orders!A:A,Orders!E:E,"")</x:f>
        <x:v>North</x:v>
      </x:c>
      <x:c r="L253" t="n">
        <x:f>XLOOKUP(B253,Orders!A:A,Orders!B:B,"")</x:f>
        <x:v>45901</x:v>
      </x:c>
      <x:c r="M253" t="str">
        <x:f>XLOOKUP(C253,Products!A:A,Products!C:C,"")</x:f>
        <x:v>Accessories</x:v>
      </x:c>
    </x:row>
    <x:row r="254">
      <x:c r="A254" s="15" t="str">
        <x:v>ITEM00106_3</x:v>
      </x:c>
      <x:c r="B254" s="15" t="str">
        <x:v>ORD00106</x:v>
      </x:c>
      <x:c r="C254" s="15" t="str">
        <x:v>PROD014</x:v>
      </x:c>
      <x:c r="D254" s="15" t="n">
        <x:v>2</x:v>
      </x:c>
      <x:c r="E254" s="15" t="n">
        <x:v>1611.65</x:v>
      </x:c>
      <x:c r="F254" s="15" t="n">
        <x:v>0</x:v>
      </x:c>
      <x:c r="G254" s="15" t="n">
        <x:v>3223.3</x:v>
      </x:c>
      <x:c r="H254" s="15" t="n">
        <x:v>3223.3</x:v>
      </x:c>
      <x:c r="I254" s="15" t="n">
        <x:v>2466</x:v>
      </x:c>
      <x:c r="J254" s="15" t="n">
        <x:v>757.3</x:v>
      </x:c>
      <x:c r="K254" t="str">
        <x:f>XLOOKUP(B254,Orders!A:A,Orders!E:E,"")</x:f>
        <x:v>North</x:v>
      </x:c>
      <x:c r="L254" t="n">
        <x:f>XLOOKUP(B254,Orders!A:A,Orders!B:B,"")</x:f>
        <x:v>45901</x:v>
      </x:c>
      <x:c r="M254" t="str">
        <x:f>XLOOKUP(C254,Products!A:A,Products!C:C,"")</x:f>
        <x:v>Office Supplies</x:v>
      </x:c>
    </x:row>
    <x:row r="255">
      <x:c r="A255" s="15" t="str">
        <x:v>ITEM00106_4</x:v>
      </x:c>
      <x:c r="B255" s="15" t="str">
        <x:v>ORD00106</x:v>
      </x:c>
      <x:c r="C255" s="15" t="str">
        <x:v>PROD006</x:v>
      </x:c>
      <x:c r="D255" s="15" t="n">
        <x:v>3</x:v>
      </x:c>
      <x:c r="E255" s="15" t="n">
        <x:v>4261.26</x:v>
      </x:c>
      <x:c r="F255" s="15" t="n">
        <x:v>0.05</x:v>
      </x:c>
      <x:c r="G255" s="15" t="n">
        <x:v>12783.78</x:v>
      </x:c>
      <x:c r="H255" s="15" t="n">
        <x:v>12144.59</x:v>
      </x:c>
      <x:c r="I255" s="15" t="n">
        <x:v>9201</x:v>
      </x:c>
      <x:c r="J255" s="15" t="n">
        <x:v>2943.59</x:v>
      </x:c>
      <x:c r="K255" t="str">
        <x:f>XLOOKUP(B255,Orders!A:A,Orders!E:E,"")</x:f>
        <x:v>North</x:v>
      </x:c>
      <x:c r="L255" t="n">
        <x:f>XLOOKUP(B255,Orders!A:A,Orders!B:B,"")</x:f>
        <x:v>45901</x:v>
      </x:c>
      <x:c r="M255" t="str">
        <x:f>XLOOKUP(C255,Products!A:A,Products!C:C,"")</x:f>
        <x:v>Office Supplies</x:v>
      </x:c>
    </x:row>
    <x:row r="256">
      <x:c r="A256" s="15" t="str">
        <x:v>ITEM00107_1</x:v>
      </x:c>
      <x:c r="B256" s="15" t="str">
        <x:v>ORD00107</x:v>
      </x:c>
      <x:c r="C256" s="15" t="str">
        <x:v>PROD006</x:v>
      </x:c>
      <x:c r="D256" s="15" t="n">
        <x:v>4</x:v>
      </x:c>
      <x:c r="E256" s="15" t="n">
        <x:v>4261.26</x:v>
      </x:c>
      <x:c r="F256" s="15" t="n">
        <x:v>0</x:v>
      </x:c>
      <x:c r="G256" s="15" t="n">
        <x:v>17045.04</x:v>
      </x:c>
      <x:c r="H256" s="15" t="n">
        <x:v>17045.04</x:v>
      </x:c>
      <x:c r="I256" s="15" t="n">
        <x:v>12268</x:v>
      </x:c>
      <x:c r="J256" s="15" t="n">
        <x:v>4777.04</x:v>
      </x:c>
      <x:c r="K256" t="str">
        <x:f>XLOOKUP(B256,Orders!A:A,Orders!E:E,"")</x:f>
        <x:v>North</x:v>
      </x:c>
      <x:c r="L256" t="n">
        <x:f>XLOOKUP(B256,Orders!A:A,Orders!B:B,"")</x:f>
        <x:v>46084</x:v>
      </x:c>
      <x:c r="M256" t="str">
        <x:f>XLOOKUP(C256,Products!A:A,Products!C:C,"")</x:f>
        <x:v>Office Supplies</x:v>
      </x:c>
    </x:row>
    <x:row r="257">
      <x:c r="A257" s="15" t="str">
        <x:v>ITEM00107_2</x:v>
      </x:c>
      <x:c r="B257" s="15" t="str">
        <x:v>ORD00107</x:v>
      </x:c>
      <x:c r="C257" s="15" t="str">
        <x:v>PROD009</x:v>
      </x:c>
      <x:c r="D257" s="15" t="n">
        <x:v>4</x:v>
      </x:c>
      <x:c r="E257" s="15" t="n">
        <x:v>4722.96</x:v>
      </x:c>
      <x:c r="F257" s="15" t="n">
        <x:v>0.05</x:v>
      </x:c>
      <x:c r="G257" s="15" t="n">
        <x:v>18891.84</x:v>
      </x:c>
      <x:c r="H257" s="15" t="n">
        <x:v>17947.25</x:v>
      </x:c>
      <x:c r="I257" s="15" t="n">
        <x:v>12852</x:v>
      </x:c>
      <x:c r="J257" s="15" t="n">
        <x:v>5095.25</x:v>
      </x:c>
      <x:c r="K257" t="str">
        <x:f>XLOOKUP(B257,Orders!A:A,Orders!E:E,"")</x:f>
        <x:v>North</x:v>
      </x:c>
      <x:c r="L257" t="n">
        <x:f>XLOOKUP(B257,Orders!A:A,Orders!B:B,"")</x:f>
        <x:v>46084</x:v>
      </x:c>
      <x:c r="M257" t="str">
        <x:f>XLOOKUP(C257,Products!A:A,Products!C:C,"")</x:f>
        <x:v>Accessories</x:v>
      </x:c>
    </x:row>
    <x:row r="258">
      <x:c r="A258" s="15" t="str">
        <x:v>ITEM00107_3</x:v>
      </x:c>
      <x:c r="B258" s="15" t="str">
        <x:v>ORD00107</x:v>
      </x:c>
      <x:c r="C258" s="15" t="str">
        <x:v>PROD026</x:v>
      </x:c>
      <x:c r="D258" s="15" t="n">
        <x:v>1</x:v>
      </x:c>
      <x:c r="E258" s="15" t="n">
        <x:v>3848.69</x:v>
      </x:c>
      <x:c r="F258" s="15" t="n">
        <x:v>0.05</x:v>
      </x:c>
      <x:c r="G258" s="15" t="n">
        <x:v>3848.69</x:v>
      </x:c>
      <x:c r="H258" s="15" t="n">
        <x:v>3656.26</x:v>
      </x:c>
      <x:c r="I258" s="15" t="n">
        <x:v>2634</x:v>
      </x:c>
      <x:c r="J258" s="15" t="n">
        <x:v>1022.26</x:v>
      </x:c>
      <x:c r="K258" t="str">
        <x:f>XLOOKUP(B258,Orders!A:A,Orders!E:E,"")</x:f>
        <x:v>North</x:v>
      </x:c>
      <x:c r="L258" t="n">
        <x:f>XLOOKUP(B258,Orders!A:A,Orders!B:B,"")</x:f>
        <x:v>46084</x:v>
      </x:c>
      <x:c r="M258" t="str">
        <x:f>XLOOKUP(C258,Products!A:A,Products!C:C,"")</x:f>
        <x:v>Accessories</x:v>
      </x:c>
    </x:row>
    <x:row r="259">
      <x:c r="A259" s="15" t="str">
        <x:v>ITEM00108_1</x:v>
      </x:c>
      <x:c r="B259" s="15" t="str">
        <x:v>ORD00108</x:v>
      </x:c>
      <x:c r="C259" s="15" t="str">
        <x:v>PROD017</x:v>
      </x:c>
      <x:c r="D259" s="15" t="n">
        <x:v>7</x:v>
      </x:c>
      <x:c r="E259" s="15" t="n">
        <x:v>7311.62</x:v>
      </x:c>
      <x:c r="F259" s="15" t="n">
        <x:v>0</x:v>
      </x:c>
      <x:c r="G259" s="15" t="n">
        <x:v>51181.34</x:v>
      </x:c>
      <x:c r="H259" s="15" t="n">
        <x:v>51181.34</x:v>
      </x:c>
      <x:c r="I259" s="15" t="n">
        <x:v>36806</x:v>
      </x:c>
      <x:c r="J259" s="15" t="n">
        <x:v>14375.34</x:v>
      </x:c>
      <x:c r="K259" t="str">
        <x:f>XLOOKUP(B259,Orders!A:A,Orders!E:E,"")</x:f>
        <x:v>West</x:v>
      </x:c>
      <x:c r="L259" t="n">
        <x:f>XLOOKUP(B259,Orders!A:A,Orders!B:B,"")</x:f>
        <x:v>46015</x:v>
      </x:c>
      <x:c r="M259" t="str">
        <x:f>XLOOKUP(C259,Products!A:A,Products!C:C,"")</x:f>
        <x:v>Accessories</x:v>
      </x:c>
    </x:row>
    <x:row r="260">
      <x:c r="A260" s="15" t="str">
        <x:v>ITEM00108_2</x:v>
      </x:c>
      <x:c r="B260" s="15" t="str">
        <x:v>ORD00108</x:v>
      </x:c>
      <x:c r="C260" s="15" t="str">
        <x:v>PROD039</x:v>
      </x:c>
      <x:c r="D260" s="15" t="n">
        <x:v>7</x:v>
      </x:c>
      <x:c r="E260" s="15" t="n">
        <x:v>5945.62</x:v>
      </x:c>
      <x:c r="F260" s="15" t="n">
        <x:v>0.15</x:v>
      </x:c>
      <x:c r="G260" s="15" t="n">
        <x:v>41619.34</x:v>
      </x:c>
      <x:c r="H260" s="15" t="n">
        <x:v>35376.44</x:v>
      </x:c>
      <x:c r="I260" s="15" t="n">
        <x:v>32011</x:v>
      </x:c>
      <x:c r="J260" s="15" t="n">
        <x:v>3365.44</x:v>
      </x:c>
      <x:c r="K260" t="str">
        <x:f>XLOOKUP(B260,Orders!A:A,Orders!E:E,"")</x:f>
        <x:v>West</x:v>
      </x:c>
      <x:c r="L260" t="n">
        <x:f>XLOOKUP(B260,Orders!A:A,Orders!B:B,"")</x:f>
        <x:v>46015</x:v>
      </x:c>
      <x:c r="M260" t="str">
        <x:f>XLOOKUP(C260,Products!A:A,Products!C:C,"")</x:f>
        <x:v>Office Supplies</x:v>
      </x:c>
    </x:row>
    <x:row r="261">
      <x:c r="A261" s="15" t="str">
        <x:v>ITEM00108_3</x:v>
      </x:c>
      <x:c r="B261" s="15" t="str">
        <x:v>ORD00108</x:v>
      </x:c>
      <x:c r="C261" s="15" t="str">
        <x:v>PROD001</x:v>
      </x:c>
      <x:c r="D261" s="15" t="n">
        <x:v>2</x:v>
      </x:c>
      <x:c r="E261" s="15" t="n">
        <x:v>8672.7</x:v>
      </x:c>
      <x:c r="F261" s="15" t="n">
        <x:v>0.1</x:v>
      </x:c>
      <x:c r="G261" s="15" t="n">
        <x:v>17345.4</x:v>
      </x:c>
      <x:c r="H261" s="15" t="n">
        <x:v>15610.86</x:v>
      </x:c>
      <x:c r="I261" s="15" t="n">
        <x:v>12326</x:v>
      </x:c>
      <x:c r="J261" s="15" t="n">
        <x:v>3284.86</x:v>
      </x:c>
      <x:c r="K261" t="str">
        <x:f>XLOOKUP(B261,Orders!A:A,Orders!E:E,"")</x:f>
        <x:v>West</x:v>
      </x:c>
      <x:c r="L261" t="n">
        <x:f>XLOOKUP(B261,Orders!A:A,Orders!B:B,"")</x:f>
        <x:v>46015</x:v>
      </x:c>
      <x:c r="M261" t="str">
        <x:f>XLOOKUP(C261,Products!A:A,Products!C:C,"")</x:f>
        <x:v>Office Supplies</x:v>
      </x:c>
    </x:row>
    <x:row r="262">
      <x:c r="A262" s="15" t="str">
        <x:v>ITEM00108_4</x:v>
      </x:c>
      <x:c r="B262" s="15" t="str">
        <x:v>ORD00108</x:v>
      </x:c>
      <x:c r="C262" s="15" t="str">
        <x:v>PROD014</x:v>
      </x:c>
      <x:c r="D262" s="15" t="n">
        <x:v>6</x:v>
      </x:c>
      <x:c r="E262" s="15" t="n">
        <x:v>1611.65</x:v>
      </x:c>
      <x:c r="F262" s="15" t="n">
        <x:v>0.05</x:v>
      </x:c>
      <x:c r="G262" s="15" t="n">
        <x:v>9669.9</x:v>
      </x:c>
      <x:c r="H262" s="15" t="n">
        <x:v>9186.4</x:v>
      </x:c>
      <x:c r="I262" s="15" t="n">
        <x:v>7398</x:v>
      </x:c>
      <x:c r="J262" s="15" t="n">
        <x:v>1788.4</x:v>
      </x:c>
      <x:c r="K262" t="str">
        <x:f>XLOOKUP(B262,Orders!A:A,Orders!E:E,"")</x:f>
        <x:v>West</x:v>
      </x:c>
      <x:c r="L262" t="n">
        <x:f>XLOOKUP(B262,Orders!A:A,Orders!B:B,"")</x:f>
        <x:v>46015</x:v>
      </x:c>
      <x:c r="M262" t="str">
        <x:f>XLOOKUP(C262,Products!A:A,Products!C:C,"")</x:f>
        <x:v>Office Supplies</x:v>
      </x:c>
    </x:row>
    <x:row r="263">
      <x:c r="A263" s="15" t="str">
        <x:v>ITEM00109_1</x:v>
      </x:c>
      <x:c r="B263" s="15" t="str">
        <x:v>ORD00109</x:v>
      </x:c>
      <x:c r="C263" s="15" t="str">
        <x:v>PROD012</x:v>
      </x:c>
      <x:c r="D263" s="15" t="n">
        <x:v>6</x:v>
      </x:c>
      <x:c r="E263" s="15" t="n">
        <x:v>7989.38</x:v>
      </x:c>
      <x:c r="F263" s="15" t="n">
        <x:v>0.1</x:v>
      </x:c>
      <x:c r="G263" s="15" t="n">
        <x:v>47936.28</x:v>
      </x:c>
      <x:c r="H263" s="15" t="n">
        <x:v>43142.65</x:v>
      </x:c>
      <x:c r="I263" s="15" t="n">
        <x:v>38910</x:v>
      </x:c>
      <x:c r="J263" s="15" t="n">
        <x:v>4232.65</x:v>
      </x:c>
      <x:c r="K263" t="str">
        <x:f>XLOOKUP(B263,Orders!A:A,Orders!E:E,"")</x:f>
        <x:v>East</x:v>
      </x:c>
      <x:c r="L263" t="n">
        <x:f>XLOOKUP(B263,Orders!A:A,Orders!B:B,"")</x:f>
        <x:v>45829</x:v>
      </x:c>
      <x:c r="M263" t="str">
        <x:f>XLOOKUP(C263,Products!A:A,Products!C:C,"")</x:f>
        <x:v>Electronics</x:v>
      </x:c>
    </x:row>
    <x:row r="264">
      <x:c r="A264" s="15" t="str">
        <x:v>ITEM00109_2</x:v>
      </x:c>
      <x:c r="B264" s="15" t="str">
        <x:v>ORD00109</x:v>
      </x:c>
      <x:c r="C264" s="15" t="str">
        <x:v>PROD024</x:v>
      </x:c>
      <x:c r="D264" s="15" t="n">
        <x:v>5</x:v>
      </x:c>
      <x:c r="E264" s="15" t="n">
        <x:v>4018</x:v>
      </x:c>
      <x:c r="F264" s="15" t="n">
        <x:v>0</x:v>
      </x:c>
      <x:c r="G264" s="15" t="n">
        <x:v>20090</x:v>
      </x:c>
      <x:c r="H264" s="15" t="n">
        <x:v>20090</x:v>
      </x:c>
      <x:c r="I264" s="15" t="n">
        <x:v>15960</x:v>
      </x:c>
      <x:c r="J264" s="15" t="n">
        <x:v>4130</x:v>
      </x:c>
      <x:c r="K264" t="str">
        <x:f>XLOOKUP(B264,Orders!A:A,Orders!E:E,"")</x:f>
        <x:v>East</x:v>
      </x:c>
      <x:c r="L264" t="n">
        <x:f>XLOOKUP(B264,Orders!A:A,Orders!B:B,"")</x:f>
        <x:v>45829</x:v>
      </x:c>
      <x:c r="M264" t="str">
        <x:f>XLOOKUP(C264,Products!A:A,Products!C:C,"")</x:f>
        <x:v>Furniture</x:v>
      </x:c>
    </x:row>
    <x:row r="265">
      <x:c r="A265" s="15" t="str">
        <x:v>ITEM00110_1</x:v>
      </x:c>
      <x:c r="B265" s="15" t="str">
        <x:v>ORD00110</x:v>
      </x:c>
      <x:c r="C265" s="15" t="str">
        <x:v>PROD031</x:v>
      </x:c>
      <x:c r="D265" s="15" t="n">
        <x:v>2</x:v>
      </x:c>
      <x:c r="E265" s="15" t="n">
        <x:v>3371.81</x:v>
      </x:c>
      <x:c r="F265" s="15" t="n">
        <x:v>0</x:v>
      </x:c>
      <x:c r="G265" s="15" t="n">
        <x:v>6743.62</x:v>
      </x:c>
      <x:c r="H265" s="15" t="n">
        <x:v>6743.62</x:v>
      </x:c>
      <x:c r="I265" s="15" t="n">
        <x:v>5594</x:v>
      </x:c>
      <x:c r="J265" s="15" t="n">
        <x:v>1149.62</x:v>
      </x:c>
      <x:c r="K265" t="str">
        <x:f>XLOOKUP(B265,Orders!A:A,Orders!E:E,"")</x:f>
        <x:v>South</x:v>
      </x:c>
      <x:c r="L265" t="n">
        <x:f>XLOOKUP(B265,Orders!A:A,Orders!B:B,"")</x:f>
        <x:v>45743</x:v>
      </x:c>
      <x:c r="M265" t="str">
        <x:f>XLOOKUP(C265,Products!A:A,Products!C:C,"")</x:f>
        <x:v>Furniture</x:v>
      </x:c>
    </x:row>
    <x:row r="266">
      <x:c r="A266" s="15" t="str">
        <x:v>ITEM00110_2</x:v>
      </x:c>
      <x:c r="B266" s="15" t="str">
        <x:v>ORD00110</x:v>
      </x:c>
      <x:c r="C266" s="15" t="str">
        <x:v>PROD002</x:v>
      </x:c>
      <x:c r="D266" s="15" t="n">
        <x:v>1</x:v>
      </x:c>
      <x:c r="E266" s="15" t="n">
        <x:v>4655.92</x:v>
      </x:c>
      <x:c r="F266" s="15" t="n">
        <x:v>0.15</x:v>
      </x:c>
      <x:c r="G266" s="15" t="n">
        <x:v>4655.92</x:v>
      </x:c>
      <x:c r="H266" s="15" t="n">
        <x:v>3957.53</x:v>
      </x:c>
      <x:c r="I266" s="15" t="n">
        <x:v>3133</x:v>
      </x:c>
      <x:c r="J266" s="15" t="n">
        <x:v>824.53</x:v>
      </x:c>
      <x:c r="K266" t="str">
        <x:f>XLOOKUP(B266,Orders!A:A,Orders!E:E,"")</x:f>
        <x:v>South</x:v>
      </x:c>
      <x:c r="L266" t="n">
        <x:f>XLOOKUP(B266,Orders!A:A,Orders!B:B,"")</x:f>
        <x:v>45743</x:v>
      </x:c>
      <x:c r="M266" t="str">
        <x:f>XLOOKUP(C266,Products!A:A,Products!C:C,"")</x:f>
        <x:v>Accessories</x:v>
      </x:c>
    </x:row>
    <x:row r="267">
      <x:c r="A267" s="15" t="str">
        <x:v>ITEM00111_1</x:v>
      </x:c>
      <x:c r="B267" s="15" t="str">
        <x:v>ORD00111</x:v>
      </x:c>
      <x:c r="C267" s="15" t="str">
        <x:v>PROD009</x:v>
      </x:c>
      <x:c r="D267" s="15" t="n">
        <x:v>4</x:v>
      </x:c>
      <x:c r="E267" s="15" t="n">
        <x:v>4722.96</x:v>
      </x:c>
      <x:c r="F267" s="15" t="n">
        <x:v>0.05</x:v>
      </x:c>
      <x:c r="G267" s="15" t="n">
        <x:v>18891.84</x:v>
      </x:c>
      <x:c r="H267" s="15" t="n">
        <x:v>17947.25</x:v>
      </x:c>
      <x:c r="I267" s="15" t="n">
        <x:v>12852</x:v>
      </x:c>
      <x:c r="J267" s="15" t="n">
        <x:v>5095.25</x:v>
      </x:c>
      <x:c r="K267" t="str">
        <x:f>XLOOKUP(B267,Orders!A:A,Orders!E:E,"")</x:f>
        <x:v>North</x:v>
      </x:c>
      <x:c r="L267" t="n">
        <x:f>XLOOKUP(B267,Orders!A:A,Orders!B:B,"")</x:f>
        <x:v>46029</x:v>
      </x:c>
      <x:c r="M267" t="str">
        <x:f>XLOOKUP(C267,Products!A:A,Products!C:C,"")</x:f>
        <x:v>Accessories</x:v>
      </x:c>
    </x:row>
    <x:row r="268">
      <x:c r="A268" s="15" t="str">
        <x:v>ITEM00111_2</x:v>
      </x:c>
      <x:c r="B268" s="15" t="str">
        <x:v>ORD00111</x:v>
      </x:c>
      <x:c r="C268" s="15" t="str">
        <x:v>PROD025</x:v>
      </x:c>
      <x:c r="D268" s="15" t="n">
        <x:v>3</x:v>
      </x:c>
      <x:c r="E268" s="15" t="n">
        <x:v>1148.84</x:v>
      </x:c>
      <x:c r="F268" s="15" t="n">
        <x:v>0</x:v>
      </x:c>
      <x:c r="G268" s="15" t="n">
        <x:v>3446.52</x:v>
      </x:c>
      <x:c r="H268" s="15" t="n">
        <x:v>3446.52</x:v>
      </x:c>
      <x:c r="I268" s="15" t="n">
        <x:v>2634</x:v>
      </x:c>
      <x:c r="J268" s="15" t="n">
        <x:v>812.52</x:v>
      </x:c>
      <x:c r="K268" t="str">
        <x:f>XLOOKUP(B268,Orders!A:A,Orders!E:E,"")</x:f>
        <x:v>North</x:v>
      </x:c>
      <x:c r="L268" t="n">
        <x:f>XLOOKUP(B268,Orders!A:A,Orders!B:B,"")</x:f>
        <x:v>46029</x:v>
      </x:c>
      <x:c r="M268" t="str">
        <x:f>XLOOKUP(C268,Products!A:A,Products!C:C,"")</x:f>
        <x:v>Furniture</x:v>
      </x:c>
    </x:row>
    <x:row r="269">
      <x:c r="A269" s="15" t="str">
        <x:v>ITEM00112_1</x:v>
      </x:c>
      <x:c r="B269" s="15" t="str">
        <x:v>ORD00112</x:v>
      </x:c>
      <x:c r="C269" s="15" t="str">
        <x:v>PROD030</x:v>
      </x:c>
      <x:c r="D269" s="15" t="n">
        <x:v>3</x:v>
      </x:c>
      <x:c r="E269" s="15" t="n">
        <x:v>5180.7</x:v>
      </x:c>
      <x:c r="F269" s="15" t="n">
        <x:v>0.1</x:v>
      </x:c>
      <x:c r="G269" s="15" t="n">
        <x:v>15542.1</x:v>
      </x:c>
      <x:c r="H269" s="15" t="n">
        <x:v>13987.89</x:v>
      </x:c>
      <x:c r="I269" s="15" t="n">
        <x:v>11664</x:v>
      </x:c>
      <x:c r="J269" s="15" t="n">
        <x:v>2323.89</x:v>
      </x:c>
      <x:c r="K269" t="str">
        <x:f>XLOOKUP(B269,Orders!A:A,Orders!E:E,"")</x:f>
        <x:v>North</x:v>
      </x:c>
      <x:c r="L269" t="n">
        <x:f>XLOOKUP(B269,Orders!A:A,Orders!B:B,"")</x:f>
        <x:v>45832</x:v>
      </x:c>
      <x:c r="M269" t="str">
        <x:f>XLOOKUP(C269,Products!A:A,Products!C:C,"")</x:f>
        <x:v>Office Supplies</x:v>
      </x:c>
    </x:row>
    <x:row r="270">
      <x:c r="A270" s="15" t="str">
        <x:v>ITEM00112_2</x:v>
      </x:c>
      <x:c r="B270" s="15" t="str">
        <x:v>ORD00112</x:v>
      </x:c>
      <x:c r="C270" s="15" t="str">
        <x:v>PROD016</x:v>
      </x:c>
      <x:c r="D270" s="15" t="n">
        <x:v>4</x:v>
      </x:c>
      <x:c r="E270" s="15" t="n">
        <x:v>3884.33</x:v>
      </x:c>
      <x:c r="F270" s="15" t="n">
        <x:v>0</x:v>
      </x:c>
      <x:c r="G270" s="15" t="n">
        <x:v>15537.32</x:v>
      </x:c>
      <x:c r="H270" s="15" t="n">
        <x:v>15537.32</x:v>
      </x:c>
      <x:c r="I270" s="15" t="n">
        <x:v>12188</x:v>
      </x:c>
      <x:c r="J270" s="15" t="n">
        <x:v>3349.32</x:v>
      </x:c>
      <x:c r="K270" t="str">
        <x:f>XLOOKUP(B270,Orders!A:A,Orders!E:E,"")</x:f>
        <x:v>North</x:v>
      </x:c>
      <x:c r="L270" t="n">
        <x:f>XLOOKUP(B270,Orders!A:A,Orders!B:B,"")</x:f>
        <x:v>45832</x:v>
      </x:c>
      <x:c r="M270" t="str">
        <x:f>XLOOKUP(C270,Products!A:A,Products!C:C,"")</x:f>
        <x:v>Electronics</x:v>
      </x:c>
    </x:row>
    <x:row r="271">
      <x:c r="A271" s="15" t="str">
        <x:v>ITEM00113_1</x:v>
      </x:c>
      <x:c r="B271" s="15" t="str">
        <x:v>ORD00113</x:v>
      </x:c>
      <x:c r="C271" s="15" t="str">
        <x:v>PROD017</x:v>
      </x:c>
      <x:c r="D271" s="15" t="n">
        <x:v>1</x:v>
      </x:c>
      <x:c r="E271" s="15" t="n">
        <x:v>7311.62</x:v>
      </x:c>
      <x:c r="F271" s="15" t="n">
        <x:v>0.15</x:v>
      </x:c>
      <x:c r="G271" s="15" t="n">
        <x:v>7311.62</x:v>
      </x:c>
      <x:c r="H271" s="15" t="n">
        <x:v>6214.88</x:v>
      </x:c>
      <x:c r="I271" s="15" t="n">
        <x:v>5258</x:v>
      </x:c>
      <x:c r="J271" s="15" t="n">
        <x:v>956.88</x:v>
      </x:c>
      <x:c r="K271" t="str">
        <x:f>XLOOKUP(B271,Orders!A:A,Orders!E:E,"")</x:f>
        <x:v>West</x:v>
      </x:c>
      <x:c r="L271" t="n">
        <x:f>XLOOKUP(B271,Orders!A:A,Orders!B:B,"")</x:f>
        <x:v>46153</x:v>
      </x:c>
      <x:c r="M271" t="str">
        <x:f>XLOOKUP(C271,Products!A:A,Products!C:C,"")</x:f>
        <x:v>Accessories</x:v>
      </x:c>
    </x:row>
    <x:row r="272">
      <x:c r="A272" s="15" t="str">
        <x:v>ITEM00114_1</x:v>
      </x:c>
      <x:c r="B272" s="15" t="str">
        <x:v>ORD00114</x:v>
      </x:c>
      <x:c r="C272" s="15" t="str">
        <x:v>PROD022</x:v>
      </x:c>
      <x:c r="D272" s="15" t="n">
        <x:v>5</x:v>
      </x:c>
      <x:c r="E272" s="15" t="n">
        <x:v>7775.36</x:v>
      </x:c>
      <x:c r="F272" s="15" t="n">
        <x:v>0</x:v>
      </x:c>
      <x:c r="G272" s="15" t="n">
        <x:v>38876.8</x:v>
      </x:c>
      <x:c r="H272" s="15" t="n">
        <x:v>38876.8</x:v>
      </x:c>
      <x:c r="I272" s="15" t="n">
        <x:v>31655</x:v>
      </x:c>
      <x:c r="J272" s="15" t="n">
        <x:v>7221.8</x:v>
      </x:c>
      <x:c r="K272" t="str">
        <x:f>XLOOKUP(B272,Orders!A:A,Orders!E:E,"")</x:f>
        <x:v>South</x:v>
      </x:c>
      <x:c r="L272" t="n">
        <x:f>XLOOKUP(B272,Orders!A:A,Orders!B:B,"")</x:f>
        <x:v>45991</x:v>
      </x:c>
      <x:c r="M272" t="str">
        <x:f>XLOOKUP(C272,Products!A:A,Products!C:C,"")</x:f>
        <x:v>Furniture</x:v>
      </x:c>
    </x:row>
    <x:row r="273">
      <x:c r="A273" s="15" t="str">
        <x:v>ITEM00114_2</x:v>
      </x:c>
      <x:c r="B273" s="15" t="str">
        <x:v>ORD00114</x:v>
      </x:c>
      <x:c r="C273" s="15" t="str">
        <x:v>PROD037</x:v>
      </x:c>
      <x:c r="D273" s="15" t="n">
        <x:v>6</x:v>
      </x:c>
      <x:c r="E273" s="15" t="n">
        <x:v>9876.8</x:v>
      </x:c>
      <x:c r="F273" s="15" t="n">
        <x:v>0.05</x:v>
      </x:c>
      <x:c r="G273" s="15" t="n">
        <x:v>59260.8</x:v>
      </x:c>
      <x:c r="H273" s="15" t="n">
        <x:v>56297.76</x:v>
      </x:c>
      <x:c r="I273" s="15" t="n">
        <x:v>42744</x:v>
      </x:c>
      <x:c r="J273" s="15" t="n">
        <x:v>13553.76</x:v>
      </x:c>
      <x:c r="K273" t="str">
        <x:f>XLOOKUP(B273,Orders!A:A,Orders!E:E,"")</x:f>
        <x:v>South</x:v>
      </x:c>
      <x:c r="L273" t="n">
        <x:f>XLOOKUP(B273,Orders!A:A,Orders!B:B,"")</x:f>
        <x:v>45991</x:v>
      </x:c>
      <x:c r="M273" t="str">
        <x:f>XLOOKUP(C273,Products!A:A,Products!C:C,"")</x:f>
        <x:v>Accessories</x:v>
      </x:c>
    </x:row>
    <x:row r="274">
      <x:c r="A274" s="15" t="str">
        <x:v>ITEM00115_1</x:v>
      </x:c>
      <x:c r="B274" s="15" t="str">
        <x:v>ORD00115</x:v>
      </x:c>
      <x:c r="C274" s="15" t="str">
        <x:v>PROD013</x:v>
      </x:c>
      <x:c r="D274" s="15" t="n">
        <x:v>7</x:v>
      </x:c>
      <x:c r="E274" s="15" t="n">
        <x:v>7614.02</x:v>
      </x:c>
      <x:c r="F274" s="15" t="n">
        <x:v>0</x:v>
      </x:c>
      <x:c r="G274" s="15" t="n">
        <x:v>53298.14</x:v>
      </x:c>
      <x:c r="H274" s="15" t="n">
        <x:v>53298.14</x:v>
      </x:c>
      <x:c r="I274" s="15" t="n">
        <x:v>42539</x:v>
      </x:c>
      <x:c r="J274" s="15" t="n">
        <x:v>10759.14</x:v>
      </x:c>
      <x:c r="K274" t="str">
        <x:f>XLOOKUP(B274,Orders!A:A,Orders!E:E,"")</x:f>
        <x:v>West</x:v>
      </x:c>
      <x:c r="L274" t="n">
        <x:f>XLOOKUP(B274,Orders!A:A,Orders!B:B,"")</x:f>
        <x:v>45674</x:v>
      </x:c>
      <x:c r="M274" t="str">
        <x:f>XLOOKUP(C274,Products!A:A,Products!C:C,"")</x:f>
        <x:v>Furniture</x:v>
      </x:c>
    </x:row>
    <x:row r="275">
      <x:c r="A275" s="15" t="str">
        <x:v>ITEM00116_1</x:v>
      </x:c>
      <x:c r="B275" s="15" t="str">
        <x:v>ORD00116</x:v>
      </x:c>
      <x:c r="C275" s="15" t="str">
        <x:v>PROD040</x:v>
      </x:c>
      <x:c r="D275" s="15" t="n">
        <x:v>7</x:v>
      </x:c>
      <x:c r="E275" s="15" t="n">
        <x:v>8561.07</x:v>
      </x:c>
      <x:c r="F275" s="15" t="n">
        <x:v>0.1</x:v>
      </x:c>
      <x:c r="G275" s="15" t="n">
        <x:v>59927.49</x:v>
      </x:c>
      <x:c r="H275" s="15" t="n">
        <x:v>53934.74</x:v>
      </x:c>
      <x:c r="I275" s="15" t="n">
        <x:v>47887</x:v>
      </x:c>
      <x:c r="J275" s="15" t="n">
        <x:v>6047.74</x:v>
      </x:c>
      <x:c r="K275" t="str">
        <x:f>XLOOKUP(B275,Orders!A:A,Orders!E:E,"")</x:f>
        <x:v>North</x:v>
      </x:c>
      <x:c r="L275" t="n">
        <x:f>XLOOKUP(B275,Orders!A:A,Orders!B:B,"")</x:f>
        <x:v>45739</x:v>
      </x:c>
      <x:c r="M275" t="str">
        <x:f>XLOOKUP(C275,Products!A:A,Products!C:C,"")</x:f>
        <x:v>Electronics</x:v>
      </x:c>
    </x:row>
    <x:row r="276">
      <x:c r="A276" s="15" t="str">
        <x:v>ITEM00116_2</x:v>
      </x:c>
      <x:c r="B276" s="15" t="str">
        <x:v>ORD00116</x:v>
      </x:c>
      <x:c r="C276" s="15" t="str">
        <x:v>PROD022</x:v>
      </x:c>
      <x:c r="D276" s="15" t="n">
        <x:v>7</x:v>
      </x:c>
      <x:c r="E276" s="15" t="n">
        <x:v>7775.36</x:v>
      </x:c>
      <x:c r="F276" s="15" t="n">
        <x:v>0</x:v>
      </x:c>
      <x:c r="G276" s="15" t="n">
        <x:v>54427.52</x:v>
      </x:c>
      <x:c r="H276" s="15" t="n">
        <x:v>54427.52</x:v>
      </x:c>
      <x:c r="I276" s="15" t="n">
        <x:v>44317</x:v>
      </x:c>
      <x:c r="J276" s="15" t="n">
        <x:v>10110.52</x:v>
      </x:c>
      <x:c r="K276" t="str">
        <x:f>XLOOKUP(B276,Orders!A:A,Orders!E:E,"")</x:f>
        <x:v>North</x:v>
      </x:c>
      <x:c r="L276" t="n">
        <x:f>XLOOKUP(B276,Orders!A:A,Orders!B:B,"")</x:f>
        <x:v>45739</x:v>
      </x:c>
      <x:c r="M276" t="str">
        <x:f>XLOOKUP(C276,Products!A:A,Products!C:C,"")</x:f>
        <x:v>Furniture</x:v>
      </x:c>
    </x:row>
    <x:row r="277">
      <x:c r="A277" s="15" t="str">
        <x:v>ITEM00117_1</x:v>
      </x:c>
      <x:c r="B277" s="15" t="str">
        <x:v>ORD00117</x:v>
      </x:c>
      <x:c r="C277" s="15" t="str">
        <x:v>PROD032</x:v>
      </x:c>
      <x:c r="D277" s="15" t="n">
        <x:v>4</x:v>
      </x:c>
      <x:c r="E277" s="15" t="n">
        <x:v>6307.06</x:v>
      </x:c>
      <x:c r="F277" s="15" t="n">
        <x:v>0</x:v>
      </x:c>
      <x:c r="G277" s="15" t="n">
        <x:v>25228.24</x:v>
      </x:c>
      <x:c r="H277" s="15" t="n">
        <x:v>25228.24</x:v>
      </x:c>
      <x:c r="I277" s="15" t="n">
        <x:v>20308</x:v>
      </x:c>
      <x:c r="J277" s="15" t="n">
        <x:v>4920.24</x:v>
      </x:c>
      <x:c r="K277" t="str">
        <x:f>XLOOKUP(B277,Orders!A:A,Orders!E:E,"")</x:f>
        <x:v>West</x:v>
      </x:c>
      <x:c r="L277" t="n">
        <x:f>XLOOKUP(B277,Orders!A:A,Orders!B:B,"")</x:f>
        <x:v>45789</x:v>
      </x:c>
      <x:c r="M277" t="str">
        <x:f>XLOOKUP(C277,Products!A:A,Products!C:C,"")</x:f>
        <x:v>Electronics</x:v>
      </x:c>
    </x:row>
    <x:row r="278">
      <x:c r="A278" s="15" t="str">
        <x:v>ITEM00117_2</x:v>
      </x:c>
      <x:c r="B278" s="15" t="str">
        <x:v>ORD00117</x:v>
      </x:c>
      <x:c r="C278" s="15" t="str">
        <x:v>PROD002</x:v>
      </x:c>
      <x:c r="D278" s="15" t="n">
        <x:v>7</x:v>
      </x:c>
      <x:c r="E278" s="15" t="n">
        <x:v>4655.92</x:v>
      </x:c>
      <x:c r="F278" s="15" t="n">
        <x:v>0.15</x:v>
      </x:c>
      <x:c r="G278" s="15" t="n">
        <x:v>32591.44</x:v>
      </x:c>
      <x:c r="H278" s="15" t="n">
        <x:v>27702.72</x:v>
      </x:c>
      <x:c r="I278" s="15" t="n">
        <x:v>21931</x:v>
      </x:c>
      <x:c r="J278" s="15" t="n">
        <x:v>5771.72</x:v>
      </x:c>
      <x:c r="K278" t="str">
        <x:f>XLOOKUP(B278,Orders!A:A,Orders!E:E,"")</x:f>
        <x:v>West</x:v>
      </x:c>
      <x:c r="L278" t="n">
        <x:f>XLOOKUP(B278,Orders!A:A,Orders!B:B,"")</x:f>
        <x:v>45789</x:v>
      </x:c>
      <x:c r="M278" t="str">
        <x:f>XLOOKUP(C278,Products!A:A,Products!C:C,"")</x:f>
        <x:v>Accessories</x:v>
      </x:c>
    </x:row>
    <x:row r="279">
      <x:c r="A279" s="15" t="str">
        <x:v>ITEM00117_3</x:v>
      </x:c>
      <x:c r="B279" s="15" t="str">
        <x:v>ORD00117</x:v>
      </x:c>
      <x:c r="C279" s="15" t="str">
        <x:v>PROD032</x:v>
      </x:c>
      <x:c r="D279" s="15" t="n">
        <x:v>7</x:v>
      </x:c>
      <x:c r="E279" s="15" t="n">
        <x:v>6307.06</x:v>
      </x:c>
      <x:c r="F279" s="15" t="n">
        <x:v>0.1</x:v>
      </x:c>
      <x:c r="G279" s="15" t="n">
        <x:v>44149.42</x:v>
      </x:c>
      <x:c r="H279" s="15" t="n">
        <x:v>39734.48</x:v>
      </x:c>
      <x:c r="I279" s="15" t="n">
        <x:v>35539</x:v>
      </x:c>
      <x:c r="J279" s="15" t="n">
        <x:v>4195.48</x:v>
      </x:c>
      <x:c r="K279" t="str">
        <x:f>XLOOKUP(B279,Orders!A:A,Orders!E:E,"")</x:f>
        <x:v>West</x:v>
      </x:c>
      <x:c r="L279" t="n">
        <x:f>XLOOKUP(B279,Orders!A:A,Orders!B:B,"")</x:f>
        <x:v>45789</x:v>
      </x:c>
      <x:c r="M279" t="str">
        <x:f>XLOOKUP(C279,Products!A:A,Products!C:C,"")</x:f>
        <x:v>Electronics</x:v>
      </x:c>
    </x:row>
    <x:row r="280">
      <x:c r="A280" s="15" t="str">
        <x:v>ITEM00118_1</x:v>
      </x:c>
      <x:c r="B280" s="15" t="str">
        <x:v>ORD00118</x:v>
      </x:c>
      <x:c r="C280" s="15" t="str">
        <x:v>PROD012</x:v>
      </x:c>
      <x:c r="D280" s="15" t="n">
        <x:v>7</x:v>
      </x:c>
      <x:c r="E280" s="15" t="n">
        <x:v>7989.38</x:v>
      </x:c>
      <x:c r="F280" s="15" t="n">
        <x:v>0.1</x:v>
      </x:c>
      <x:c r="G280" s="15" t="n">
        <x:v>55925.66</x:v>
      </x:c>
      <x:c r="H280" s="15" t="n">
        <x:v>50333.09</x:v>
      </x:c>
      <x:c r="I280" s="15" t="n">
        <x:v>45395</x:v>
      </x:c>
      <x:c r="J280" s="15" t="n">
        <x:v>4938.09</x:v>
      </x:c>
      <x:c r="K280" t="str">
        <x:f>XLOOKUP(B280,Orders!A:A,Orders!E:E,"")</x:f>
        <x:v>West</x:v>
      </x:c>
      <x:c r="L280" t="n">
        <x:f>XLOOKUP(B280,Orders!A:A,Orders!B:B,"")</x:f>
        <x:v>46114</x:v>
      </x:c>
      <x:c r="M280" t="str">
        <x:f>XLOOKUP(C280,Products!A:A,Products!C:C,"")</x:f>
        <x:v>Electronics</x:v>
      </x:c>
    </x:row>
    <x:row r="281">
      <x:c r="A281" s="15" t="str">
        <x:v>ITEM00119_1</x:v>
      </x:c>
      <x:c r="B281" s="15" t="str">
        <x:v>ORD00119</x:v>
      </x:c>
      <x:c r="C281" s="15" t="str">
        <x:v>PROD040</x:v>
      </x:c>
      <x:c r="D281" s="15" t="n">
        <x:v>7</x:v>
      </x:c>
      <x:c r="E281" s="15" t="n">
        <x:v>8561.07</x:v>
      </x:c>
      <x:c r="F281" s="15" t="n">
        <x:v>0</x:v>
      </x:c>
      <x:c r="G281" s="15" t="n">
        <x:v>59927.49</x:v>
      </x:c>
      <x:c r="H281" s="15" t="n">
        <x:v>59927.49</x:v>
      </x:c>
      <x:c r="I281" s="15" t="n">
        <x:v>47887</x:v>
      </x:c>
      <x:c r="J281" s="15" t="n">
        <x:v>12040.49</x:v>
      </x:c>
      <x:c r="K281" t="str">
        <x:f>XLOOKUP(B281,Orders!A:A,Orders!E:E,"")</x:f>
        <x:v>South</x:v>
      </x:c>
      <x:c r="L281" t="n">
        <x:f>XLOOKUP(B281,Orders!A:A,Orders!B:B,"")</x:f>
        <x:v>45767</x:v>
      </x:c>
      <x:c r="M281" t="str">
        <x:f>XLOOKUP(C281,Products!A:A,Products!C:C,"")</x:f>
        <x:v>Electronics</x:v>
      </x:c>
    </x:row>
    <x:row r="282">
      <x:c r="A282" s="15" t="str">
        <x:v>ITEM00120_1</x:v>
      </x:c>
      <x:c r="B282" s="15" t="str">
        <x:v>ORD00120</x:v>
      </x:c>
      <x:c r="C282" s="15" t="str">
        <x:v>PROD030</x:v>
      </x:c>
      <x:c r="D282" s="15" t="n">
        <x:v>6</x:v>
      </x:c>
      <x:c r="E282" s="15" t="n">
        <x:v>5180.7</x:v>
      </x:c>
      <x:c r="F282" s="15" t="n">
        <x:v>0</x:v>
      </x:c>
      <x:c r="G282" s="15" t="n">
        <x:v>31084.2</x:v>
      </x:c>
      <x:c r="H282" s="15" t="n">
        <x:v>31084.2</x:v>
      </x:c>
      <x:c r="I282" s="15" t="n">
        <x:v>23328</x:v>
      </x:c>
      <x:c r="J282" s="15" t="n">
        <x:v>7756.2</x:v>
      </x:c>
      <x:c r="K282" t="str">
        <x:f>XLOOKUP(B282,Orders!A:A,Orders!E:E,"")</x:f>
        <x:v>East</x:v>
      </x:c>
      <x:c r="L282" t="n">
        <x:f>XLOOKUP(B282,Orders!A:A,Orders!B:B,"")</x:f>
        <x:v>46108</x:v>
      </x:c>
      <x:c r="M282" t="str">
        <x:f>XLOOKUP(C282,Products!A:A,Products!C:C,"")</x:f>
        <x:v>Office Supplies</x:v>
      </x:c>
    </x:row>
    <x:row r="283">
      <x:c r="A283" s="15" t="str">
        <x:v>ITEM00120_2</x:v>
      </x:c>
      <x:c r="B283" s="15" t="str">
        <x:v>ORD00120</x:v>
      </x:c>
      <x:c r="C283" s="15" t="str">
        <x:v>PROD039</x:v>
      </x:c>
      <x:c r="D283" s="15" t="n">
        <x:v>5</x:v>
      </x:c>
      <x:c r="E283" s="15" t="n">
        <x:v>5945.62</x:v>
      </x:c>
      <x:c r="F283" s="15" t="n">
        <x:v>0</x:v>
      </x:c>
      <x:c r="G283" s="15" t="n">
        <x:v>29728.1</x:v>
      </x:c>
      <x:c r="H283" s="15" t="n">
        <x:v>29728.1</x:v>
      </x:c>
      <x:c r="I283" s="15" t="n">
        <x:v>22865</x:v>
      </x:c>
      <x:c r="J283" s="15" t="n">
        <x:v>6863.1</x:v>
      </x:c>
      <x:c r="K283" t="str">
        <x:f>XLOOKUP(B283,Orders!A:A,Orders!E:E,"")</x:f>
        <x:v>East</x:v>
      </x:c>
      <x:c r="L283" t="n">
        <x:f>XLOOKUP(B283,Orders!A:A,Orders!B:B,"")</x:f>
        <x:v>46108</x:v>
      </x:c>
      <x:c r="M283" t="str">
        <x:f>XLOOKUP(C283,Products!A:A,Products!C:C,"")</x:f>
        <x:v>Office Supplies</x:v>
      </x:c>
    </x:row>
    <x:row r="284">
      <x:c r="A284" s="15" t="str">
        <x:v>ITEM00120_3</x:v>
      </x:c>
      <x:c r="B284" s="15" t="str">
        <x:v>ORD00120</x:v>
      </x:c>
      <x:c r="C284" s="15" t="str">
        <x:v>PROD013</x:v>
      </x:c>
      <x:c r="D284" s="15" t="n">
        <x:v>5</x:v>
      </x:c>
      <x:c r="E284" s="15" t="n">
        <x:v>7614.02</x:v>
      </x:c>
      <x:c r="F284" s="15" t="n">
        <x:v>0.1</x:v>
      </x:c>
      <x:c r="G284" s="15" t="n">
        <x:v>38070.1</x:v>
      </x:c>
      <x:c r="H284" s="15" t="n">
        <x:v>34263.09</x:v>
      </x:c>
      <x:c r="I284" s="15" t="n">
        <x:v>30385</x:v>
      </x:c>
      <x:c r="J284" s="15" t="n">
        <x:v>3878.09</x:v>
      </x:c>
      <x:c r="K284" t="str">
        <x:f>XLOOKUP(B284,Orders!A:A,Orders!E:E,"")</x:f>
        <x:v>East</x:v>
      </x:c>
      <x:c r="L284" t="n">
        <x:f>XLOOKUP(B284,Orders!A:A,Orders!B:B,"")</x:f>
        <x:v>46108</x:v>
      </x:c>
      <x:c r="M284" t="str">
        <x:f>XLOOKUP(C284,Products!A:A,Products!C:C,"")</x:f>
        <x:v>Furniture</x:v>
      </x:c>
    </x:row>
    <x:row r="285">
      <x:c r="A285" s="15" t="str">
        <x:v>ITEM00121_1</x:v>
      </x:c>
      <x:c r="B285" s="15" t="str">
        <x:v>ORD00121</x:v>
      </x:c>
      <x:c r="C285" s="15" t="str">
        <x:v>PROD027</x:v>
      </x:c>
      <x:c r="D285" s="15" t="n">
        <x:v>7</x:v>
      </x:c>
      <x:c r="E285" s="15" t="n">
        <x:v>6979.71</x:v>
      </x:c>
      <x:c r="F285" s="15" t="n">
        <x:v>0.1</x:v>
      </x:c>
      <x:c r="G285" s="15" t="n">
        <x:v>48857.97</x:v>
      </x:c>
      <x:c r="H285" s="15" t="n">
        <x:v>43972.17</x:v>
      </x:c>
      <x:c r="I285" s="15" t="n">
        <x:v>39459</x:v>
      </x:c>
      <x:c r="J285" s="15" t="n">
        <x:v>4513.17</x:v>
      </x:c>
      <x:c r="K285" t="str">
        <x:f>XLOOKUP(B285,Orders!A:A,Orders!E:E,"")</x:f>
        <x:v>West</x:v>
      </x:c>
      <x:c r="L285" t="n">
        <x:f>XLOOKUP(B285,Orders!A:A,Orders!B:B,"")</x:f>
        <x:v>46133</x:v>
      </x:c>
      <x:c r="M285" t="str">
        <x:f>XLOOKUP(C285,Products!A:A,Products!C:C,"")</x:f>
        <x:v>Electronics</x:v>
      </x:c>
    </x:row>
    <x:row r="286">
      <x:c r="A286" s="15" t="str">
        <x:v>ITEM00122_1</x:v>
      </x:c>
      <x:c r="B286" s="15" t="str">
        <x:v>ORD00122</x:v>
      </x:c>
      <x:c r="C286" s="15" t="str">
        <x:v>PROD023</x:v>
      </x:c>
      <x:c r="D286" s="15" t="n">
        <x:v>8</x:v>
      </x:c>
      <x:c r="E286" s="15" t="n">
        <x:v>5153.56</x:v>
      </x:c>
      <x:c r="F286" s="15" t="n">
        <x:v>0</x:v>
      </x:c>
      <x:c r="G286" s="15" t="n">
        <x:v>41228.48</x:v>
      </x:c>
      <x:c r="H286" s="15" t="n">
        <x:v>41228.48</x:v>
      </x:c>
      <x:c r="I286" s="15" t="n">
        <x:v>31664</x:v>
      </x:c>
      <x:c r="J286" s="15" t="n">
        <x:v>9564.48</x:v>
      </x:c>
      <x:c r="K286" t="str">
        <x:f>XLOOKUP(B286,Orders!A:A,Orders!E:E,"")</x:f>
        <x:v>West</x:v>
      </x:c>
      <x:c r="L286" t="n">
        <x:f>XLOOKUP(B286,Orders!A:A,Orders!B:B,"")</x:f>
        <x:v>45660</x:v>
      </x:c>
      <x:c r="M286" t="str">
        <x:f>XLOOKUP(C286,Products!A:A,Products!C:C,"")</x:f>
        <x:v>Electronics</x:v>
      </x:c>
    </x:row>
    <x:row r="287">
      <x:c r="A287" s="15" t="str">
        <x:v>ITEM00122_2</x:v>
      </x:c>
      <x:c r="B287" s="15" t="str">
        <x:v>ORD00122</x:v>
      </x:c>
      <x:c r="C287" s="15" t="str">
        <x:v>PROD020</x:v>
      </x:c>
      <x:c r="D287" s="15" t="n">
        <x:v>1</x:v>
      </x:c>
      <x:c r="E287" s="15" t="n">
        <x:v>6564.04</x:v>
      </x:c>
      <x:c r="F287" s="15" t="n">
        <x:v>0.15</x:v>
      </x:c>
      <x:c r="G287" s="15" t="n">
        <x:v>6564.04</x:v>
      </x:c>
      <x:c r="H287" s="15" t="n">
        <x:v>5579.43</x:v>
      </x:c>
      <x:c r="I287" s="15" t="n">
        <x:v>4585</x:v>
      </x:c>
      <x:c r="J287" s="15" t="n">
        <x:v>994.43</x:v>
      </x:c>
      <x:c r="K287" t="str">
        <x:f>XLOOKUP(B287,Orders!A:A,Orders!E:E,"")</x:f>
        <x:v>West</x:v>
      </x:c>
      <x:c r="L287" t="n">
        <x:f>XLOOKUP(B287,Orders!A:A,Orders!B:B,"")</x:f>
        <x:v>45660</x:v>
      </x:c>
      <x:c r="M287" t="str">
        <x:f>XLOOKUP(C287,Products!A:A,Products!C:C,"")</x:f>
        <x:v>Accessories</x:v>
      </x:c>
    </x:row>
    <x:row r="288">
      <x:c r="A288" s="15" t="str">
        <x:v>ITEM00123_1</x:v>
      </x:c>
      <x:c r="B288" s="15" t="str">
        <x:v>ORD00123</x:v>
      </x:c>
      <x:c r="C288" s="15" t="str">
        <x:v>PROD002</x:v>
      </x:c>
      <x:c r="D288" s="15" t="n">
        <x:v>7</x:v>
      </x:c>
      <x:c r="E288" s="15" t="n">
        <x:v>4655.92</x:v>
      </x:c>
      <x:c r="F288" s="15" t="n">
        <x:v>0</x:v>
      </x:c>
      <x:c r="G288" s="15" t="n">
        <x:v>32591.44</x:v>
      </x:c>
      <x:c r="H288" s="15" t="n">
        <x:v>32591.44</x:v>
      </x:c>
      <x:c r="I288" s="15" t="n">
        <x:v>21931</x:v>
      </x:c>
      <x:c r="J288" s="15" t="n">
        <x:v>10660.44</x:v>
      </x:c>
      <x:c r="K288" t="str">
        <x:f>XLOOKUP(B288,Orders!A:A,Orders!E:E,"")</x:f>
        <x:v>North</x:v>
      </x:c>
      <x:c r="L288" t="n">
        <x:f>XLOOKUP(B288,Orders!A:A,Orders!B:B,"")</x:f>
        <x:v>45684</x:v>
      </x:c>
      <x:c r="M288" t="str">
        <x:f>XLOOKUP(C288,Products!A:A,Products!C:C,"")</x:f>
        <x:v>Accessories</x:v>
      </x:c>
    </x:row>
    <x:row r="289">
      <x:c r="A289" s="15" t="str">
        <x:v>ITEM00123_2</x:v>
      </x:c>
      <x:c r="B289" s="15" t="str">
        <x:v>ORD00123</x:v>
      </x:c>
      <x:c r="C289" s="15" t="str">
        <x:v>PROD007</x:v>
      </x:c>
      <x:c r="D289" s="15" t="n">
        <x:v>1</x:v>
      </x:c>
      <x:c r="E289" s="15" t="n">
        <x:v>5013.07</x:v>
      </x:c>
      <x:c r="F289" s="15" t="n">
        <x:v>0</x:v>
      </x:c>
      <x:c r="G289" s="15" t="n">
        <x:v>5013.07</x:v>
      </x:c>
      <x:c r="H289" s="15" t="n">
        <x:v>5013.07</x:v>
      </x:c>
      <x:c r="I289" s="15" t="n">
        <x:v>3941</x:v>
      </x:c>
      <x:c r="J289" s="15" t="n">
        <x:v>1072.07</x:v>
      </x:c>
      <x:c r="K289" t="str">
        <x:f>XLOOKUP(B289,Orders!A:A,Orders!E:E,"")</x:f>
        <x:v>North</x:v>
      </x:c>
      <x:c r="L289" t="n">
        <x:f>XLOOKUP(B289,Orders!A:A,Orders!B:B,"")</x:f>
        <x:v>45684</x:v>
      </x:c>
      <x:c r="M289" t="str">
        <x:f>XLOOKUP(C289,Products!A:A,Products!C:C,"")</x:f>
        <x:v>Electronics</x:v>
      </x:c>
    </x:row>
    <x:row r="290">
      <x:c r="A290" s="15" t="str">
        <x:v>ITEM00124_1</x:v>
      </x:c>
      <x:c r="B290" s="15" t="str">
        <x:v>ORD00124</x:v>
      </x:c>
      <x:c r="C290" s="15" t="str">
        <x:v>PROD011</x:v>
      </x:c>
      <x:c r="D290" s="15" t="n">
        <x:v>6</x:v>
      </x:c>
      <x:c r="E290" s="15" t="n">
        <x:v>7135.27</x:v>
      </x:c>
      <x:c r="F290" s="15" t="n">
        <x:v>0</x:v>
      </x:c>
      <x:c r="G290" s="15" t="n">
        <x:v>42811.62</x:v>
      </x:c>
      <x:c r="H290" s="15" t="n">
        <x:v>42811.62</x:v>
      </x:c>
      <x:c r="I290" s="15" t="n">
        <x:v>31218</x:v>
      </x:c>
      <x:c r="J290" s="15" t="n">
        <x:v>11593.62</x:v>
      </x:c>
      <x:c r="K290" t="str">
        <x:f>XLOOKUP(B290,Orders!A:A,Orders!E:E,"")</x:f>
        <x:v>South</x:v>
      </x:c>
      <x:c r="L290" t="n">
        <x:f>XLOOKUP(B290,Orders!A:A,Orders!B:B,"")</x:f>
        <x:v>45956</x:v>
      </x:c>
      <x:c r="M290" t="str">
        <x:f>XLOOKUP(C290,Products!A:A,Products!C:C,"")</x:f>
        <x:v>Accessories</x:v>
      </x:c>
    </x:row>
    <x:row r="291">
      <x:c r="A291" s="15" t="str">
        <x:v>ITEM00125_1</x:v>
      </x:c>
      <x:c r="B291" s="15" t="str">
        <x:v>ORD00125</x:v>
      </x:c>
      <x:c r="C291" s="15" t="str">
        <x:v>PROD022</x:v>
      </x:c>
      <x:c r="D291" s="15" t="n">
        <x:v>7</x:v>
      </x:c>
      <x:c r="E291" s="15" t="n">
        <x:v>7775.36</x:v>
      </x:c>
      <x:c r="F291" s="15" t="n">
        <x:v>0.05</x:v>
      </x:c>
      <x:c r="G291" s="15" t="n">
        <x:v>54427.52</x:v>
      </x:c>
      <x:c r="H291" s="15" t="n">
        <x:v>51706.14</x:v>
      </x:c>
      <x:c r="I291" s="15" t="n">
        <x:v>44317</x:v>
      </x:c>
      <x:c r="J291" s="15" t="n">
        <x:v>7389.14</x:v>
      </x:c>
      <x:c r="K291" t="str">
        <x:f>XLOOKUP(B291,Orders!A:A,Orders!E:E,"")</x:f>
        <x:v>North</x:v>
      </x:c>
      <x:c r="L291" t="n">
        <x:f>XLOOKUP(B291,Orders!A:A,Orders!B:B,"")</x:f>
        <x:v>45940</x:v>
      </x:c>
      <x:c r="M291" t="str">
        <x:f>XLOOKUP(C291,Products!A:A,Products!C:C,"")</x:f>
        <x:v>Furniture</x:v>
      </x:c>
    </x:row>
    <x:row r="292">
      <x:c r="A292" s="15" t="str">
        <x:v>ITEM00125_2</x:v>
      </x:c>
      <x:c r="B292" s="15" t="str">
        <x:v>ORD00125</x:v>
      </x:c>
      <x:c r="C292" s="15" t="str">
        <x:v>PROD040</x:v>
      </x:c>
      <x:c r="D292" s="15" t="n">
        <x:v>1</x:v>
      </x:c>
      <x:c r="E292" s="15" t="n">
        <x:v>8561.07</x:v>
      </x:c>
      <x:c r="F292" s="15" t="n">
        <x:v>0.05</x:v>
      </x:c>
      <x:c r="G292" s="15" t="n">
        <x:v>8561.07</x:v>
      </x:c>
      <x:c r="H292" s="15" t="n">
        <x:v>8133.02</x:v>
      </x:c>
      <x:c r="I292" s="15" t="n">
        <x:v>6841</x:v>
      </x:c>
      <x:c r="J292" s="15" t="n">
        <x:v>1292.02</x:v>
      </x:c>
      <x:c r="K292" t="str">
        <x:f>XLOOKUP(B292,Orders!A:A,Orders!E:E,"")</x:f>
        <x:v>North</x:v>
      </x:c>
      <x:c r="L292" t="n">
        <x:f>XLOOKUP(B292,Orders!A:A,Orders!B:B,"")</x:f>
        <x:v>45940</x:v>
      </x:c>
      <x:c r="M292" t="str">
        <x:f>XLOOKUP(C292,Products!A:A,Products!C:C,"")</x:f>
        <x:v>Electronics</x:v>
      </x:c>
    </x:row>
    <x:row r="293">
      <x:c r="A293" s="15" t="str">
        <x:v>ITEM00125_3</x:v>
      </x:c>
      <x:c r="B293" s="15" t="str">
        <x:v>ORD00125</x:v>
      </x:c>
      <x:c r="C293" s="15" t="str">
        <x:v>PROD028</x:v>
      </x:c>
      <x:c r="D293" s="15" t="n">
        <x:v>3</x:v>
      </x:c>
      <x:c r="E293" s="15" t="n">
        <x:v>4640.74</x:v>
      </x:c>
      <x:c r="F293" s="15" t="n">
        <x:v>0</x:v>
      </x:c>
      <x:c r="G293" s="15" t="n">
        <x:v>13922.22</x:v>
      </x:c>
      <x:c r="H293" s="15" t="n">
        <x:v>13922.22</x:v>
      </x:c>
      <x:c r="I293" s="15" t="n">
        <x:v>10602</x:v>
      </x:c>
      <x:c r="J293" s="15" t="n">
        <x:v>3320.22</x:v>
      </x:c>
      <x:c r="K293" t="str">
        <x:f>XLOOKUP(B293,Orders!A:A,Orders!E:E,"")</x:f>
        <x:v>North</x:v>
      </x:c>
      <x:c r="L293" t="n">
        <x:f>XLOOKUP(B293,Orders!A:A,Orders!B:B,"")</x:f>
        <x:v>45940</x:v>
      </x:c>
      <x:c r="M293" t="str">
        <x:f>XLOOKUP(C293,Products!A:A,Products!C:C,"")</x:f>
        <x:v>Office Supplies</x:v>
      </x:c>
    </x:row>
    <x:row r="294">
      <x:c r="A294" s="15" t="str">
        <x:v>ITEM00125_4</x:v>
      </x:c>
      <x:c r="B294" s="15" t="str">
        <x:v>ORD00125</x:v>
      </x:c>
      <x:c r="C294" s="15" t="str">
        <x:v>PROD011</x:v>
      </x:c>
      <x:c r="D294" s="15" t="n">
        <x:v>4</x:v>
      </x:c>
      <x:c r="E294" s="15" t="n">
        <x:v>7135.27</x:v>
      </x:c>
      <x:c r="F294" s="15" t="n">
        <x:v>0.15</x:v>
      </x:c>
      <x:c r="G294" s="15" t="n">
        <x:v>28541.08</x:v>
      </x:c>
      <x:c r="H294" s="15" t="n">
        <x:v>24259.92</x:v>
      </x:c>
      <x:c r="I294" s="15" t="n">
        <x:v>20812</x:v>
      </x:c>
      <x:c r="J294" s="15" t="n">
        <x:v>3447.92</x:v>
      </x:c>
      <x:c r="K294" t="str">
        <x:f>XLOOKUP(B294,Orders!A:A,Orders!E:E,"")</x:f>
        <x:v>North</x:v>
      </x:c>
      <x:c r="L294" t="n">
        <x:f>XLOOKUP(B294,Orders!A:A,Orders!B:B,"")</x:f>
        <x:v>45940</x:v>
      </x:c>
      <x:c r="M294" t="str">
        <x:f>XLOOKUP(C294,Products!A:A,Products!C:C,"")</x:f>
        <x:v>Accessories</x:v>
      </x:c>
    </x:row>
    <x:row r="295">
      <x:c r="A295" s="15" t="str">
        <x:v>ITEM00126_1</x:v>
      </x:c>
      <x:c r="B295" s="15" t="str">
        <x:v>ORD00126</x:v>
      </x:c>
      <x:c r="C295" s="15" t="str">
        <x:v>PROD024</x:v>
      </x:c>
      <x:c r="D295" s="15" t="n">
        <x:v>3</x:v>
      </x:c>
      <x:c r="E295" s="15" t="n">
        <x:v>4018</x:v>
      </x:c>
      <x:c r="F295" s="15" t="n">
        <x:v>0</x:v>
      </x:c>
      <x:c r="G295" s="15" t="n">
        <x:v>12054</x:v>
      </x:c>
      <x:c r="H295" s="15" t="n">
        <x:v>12054</x:v>
      </x:c>
      <x:c r="I295" s="15" t="n">
        <x:v>9576</x:v>
      </x:c>
      <x:c r="J295" s="15" t="n">
        <x:v>2478</x:v>
      </x:c>
      <x:c r="K295" t="str">
        <x:f>XLOOKUP(B295,Orders!A:A,Orders!E:E,"")</x:f>
        <x:v>East</x:v>
      </x:c>
      <x:c r="L295" t="n">
        <x:f>XLOOKUP(B295,Orders!A:A,Orders!B:B,"")</x:f>
        <x:v>45737</x:v>
      </x:c>
      <x:c r="M295" t="str">
        <x:f>XLOOKUP(C295,Products!A:A,Products!C:C,"")</x:f>
        <x:v>Furniture</x:v>
      </x:c>
    </x:row>
    <x:row r="296">
      <x:c r="A296" s="15" t="str">
        <x:v>ITEM00126_2</x:v>
      </x:c>
      <x:c r="B296" s="15" t="str">
        <x:v>ORD00126</x:v>
      </x:c>
      <x:c r="C296" s="15" t="str">
        <x:v>PROD020</x:v>
      </x:c>
      <x:c r="D296" s="15" t="n">
        <x:v>2</x:v>
      </x:c>
      <x:c r="E296" s="15" t="n">
        <x:v>6564.04</x:v>
      </x:c>
      <x:c r="F296" s="15" t="n">
        <x:v>0.05</x:v>
      </x:c>
      <x:c r="G296" s="15" t="n">
        <x:v>13128.08</x:v>
      </x:c>
      <x:c r="H296" s="15" t="n">
        <x:v>12471.68</x:v>
      </x:c>
      <x:c r="I296" s="15" t="n">
        <x:v>9170</x:v>
      </x:c>
      <x:c r="J296" s="15" t="n">
        <x:v>3301.68</x:v>
      </x:c>
      <x:c r="K296" t="str">
        <x:f>XLOOKUP(B296,Orders!A:A,Orders!E:E,"")</x:f>
        <x:v>East</x:v>
      </x:c>
      <x:c r="L296" t="n">
        <x:f>XLOOKUP(B296,Orders!A:A,Orders!B:B,"")</x:f>
        <x:v>45737</x:v>
      </x:c>
      <x:c r="M296" t="str">
        <x:f>XLOOKUP(C296,Products!A:A,Products!C:C,"")</x:f>
        <x:v>Accessories</x:v>
      </x:c>
    </x:row>
    <x:row r="297">
      <x:c r="A297" s="15" t="str">
        <x:v>ITEM00126_3</x:v>
      </x:c>
      <x:c r="B297" s="15" t="str">
        <x:v>ORD00126</x:v>
      </x:c>
      <x:c r="C297" s="15" t="str">
        <x:v>PROD014</x:v>
      </x:c>
      <x:c r="D297" s="15" t="n">
        <x:v>4</x:v>
      </x:c>
      <x:c r="E297" s="15" t="n">
        <x:v>1611.65</x:v>
      </x:c>
      <x:c r="F297" s="15" t="n">
        <x:v>0</x:v>
      </x:c>
      <x:c r="G297" s="15" t="n">
        <x:v>6446.6</x:v>
      </x:c>
      <x:c r="H297" s="15" t="n">
        <x:v>6446.6</x:v>
      </x:c>
      <x:c r="I297" s="15" t="n">
        <x:v>4932</x:v>
      </x:c>
      <x:c r="J297" s="15" t="n">
        <x:v>1514.6</x:v>
      </x:c>
      <x:c r="K297" t="str">
        <x:f>XLOOKUP(B297,Orders!A:A,Orders!E:E,"")</x:f>
        <x:v>East</x:v>
      </x:c>
      <x:c r="L297" t="n">
        <x:f>XLOOKUP(B297,Orders!A:A,Orders!B:B,"")</x:f>
        <x:v>45737</x:v>
      </x:c>
      <x:c r="M297" t="str">
        <x:f>XLOOKUP(C297,Products!A:A,Products!C:C,"")</x:f>
        <x:v>Office Supplies</x:v>
      </x:c>
    </x:row>
    <x:row r="298">
      <x:c r="A298" s="15" t="str">
        <x:v>ITEM00127_1</x:v>
      </x:c>
      <x:c r="B298" s="15" t="str">
        <x:v>ORD00127</x:v>
      </x:c>
      <x:c r="C298" s="15" t="str">
        <x:v>PROD021</x:v>
      </x:c>
      <x:c r="D298" s="15" t="n">
        <x:v>8</x:v>
      </x:c>
      <x:c r="E298" s="15" t="n">
        <x:v>6748.85</x:v>
      </x:c>
      <x:c r="F298" s="15" t="n">
        <x:v>0.15</x:v>
      </x:c>
      <x:c r="G298" s="15" t="n">
        <x:v>53990.8</x:v>
      </x:c>
      <x:c r="H298" s="15" t="n">
        <x:v>45892.18</x:v>
      </x:c>
      <x:c r="I298" s="15" t="n">
        <x:v>39992</x:v>
      </x:c>
      <x:c r="J298" s="15" t="n">
        <x:v>5900.18</x:v>
      </x:c>
      <x:c r="K298" t="str">
        <x:f>XLOOKUP(B298,Orders!A:A,Orders!E:E,"")</x:f>
        <x:v>North</x:v>
      </x:c>
      <x:c r="L298" t="n">
        <x:f>XLOOKUP(B298,Orders!A:A,Orders!B:B,"")</x:f>
        <x:v>45995</x:v>
      </x:c>
      <x:c r="M298" t="str">
        <x:f>XLOOKUP(C298,Products!A:A,Products!C:C,"")</x:f>
        <x:v>Electronics</x:v>
      </x:c>
    </x:row>
    <x:row r="299">
      <x:c r="A299" s="15" t="str">
        <x:v>ITEM00127_2</x:v>
      </x:c>
      <x:c r="B299" s="15" t="str">
        <x:v>ORD00127</x:v>
      </x:c>
      <x:c r="C299" s="15" t="str">
        <x:v>PROD020</x:v>
      </x:c>
      <x:c r="D299" s="15" t="n">
        <x:v>5</x:v>
      </x:c>
      <x:c r="E299" s="15" t="n">
        <x:v>6564.04</x:v>
      </x:c>
      <x:c r="F299" s="15" t="n">
        <x:v>0</x:v>
      </x:c>
      <x:c r="G299" s="15" t="n">
        <x:v>32820.2</x:v>
      </x:c>
      <x:c r="H299" s="15" t="n">
        <x:v>32820.2</x:v>
      </x:c>
      <x:c r="I299" s="15" t="n">
        <x:v>22925</x:v>
      </x:c>
      <x:c r="J299" s="15" t="n">
        <x:v>9895.2</x:v>
      </x:c>
      <x:c r="K299" t="str">
        <x:f>XLOOKUP(B299,Orders!A:A,Orders!E:E,"")</x:f>
        <x:v>North</x:v>
      </x:c>
      <x:c r="L299" t="n">
        <x:f>XLOOKUP(B299,Orders!A:A,Orders!B:B,"")</x:f>
        <x:v>45995</x:v>
      </x:c>
      <x:c r="M299" t="str">
        <x:f>XLOOKUP(C299,Products!A:A,Products!C:C,"")</x:f>
        <x:v>Accessories</x:v>
      </x:c>
    </x:row>
    <x:row r="300">
      <x:c r="A300" s="15" t="str">
        <x:v>ITEM00127_3</x:v>
      </x:c>
      <x:c r="B300" s="15" t="str">
        <x:v>ORD00127</x:v>
      </x:c>
      <x:c r="C300" s="15" t="str">
        <x:v>PROD004</x:v>
      </x:c>
      <x:c r="D300" s="15" t="n">
        <x:v>8</x:v>
      </x:c>
      <x:c r="E300" s="15" t="n">
        <x:v>5435.39</x:v>
      </x:c>
      <x:c r="F300" s="15" t="n">
        <x:v>0</x:v>
      </x:c>
      <x:c r="G300" s="15" t="n">
        <x:v>43483.12</x:v>
      </x:c>
      <x:c r="H300" s="15" t="n">
        <x:v>43483.12</x:v>
      </x:c>
      <x:c r="I300" s="15" t="n">
        <x:v>33128</x:v>
      </x:c>
      <x:c r="J300" s="15" t="n">
        <x:v>10355.12</x:v>
      </x:c>
      <x:c r="K300" t="str">
        <x:f>XLOOKUP(B300,Orders!A:A,Orders!E:E,"")</x:f>
        <x:v>North</x:v>
      </x:c>
      <x:c r="L300" t="n">
        <x:f>XLOOKUP(B300,Orders!A:A,Orders!B:B,"")</x:f>
        <x:v>45995</x:v>
      </x:c>
      <x:c r="M300" t="str">
        <x:f>XLOOKUP(C300,Products!A:A,Products!C:C,"")</x:f>
        <x:v>Office Supplies</x:v>
      </x:c>
    </x:row>
    <x:row r="301">
      <x:c r="A301" s="15" t="str">
        <x:v>ITEM00128_1</x:v>
      </x:c>
      <x:c r="B301" s="15" t="str">
        <x:v>ORD00128</x:v>
      </x:c>
      <x:c r="C301" s="15" t="str">
        <x:v>PROD034</x:v>
      </x:c>
      <x:c r="D301" s="15" t="n">
        <x:v>3</x:v>
      </x:c>
      <x:c r="E301" s="15" t="n">
        <x:v>5451.76</x:v>
      </x:c>
      <x:c r="F301" s="15" t="n">
        <x:v>0</x:v>
      </x:c>
      <x:c r="G301" s="15" t="n">
        <x:v>16355.28</x:v>
      </x:c>
      <x:c r="H301" s="15" t="n">
        <x:v>16355.28</x:v>
      </x:c>
      <x:c r="I301" s="15" t="n">
        <x:v>11328</x:v>
      </x:c>
      <x:c r="J301" s="15" t="n">
        <x:v>5027.28</x:v>
      </x:c>
      <x:c r="K301" t="str">
        <x:f>XLOOKUP(B301,Orders!A:A,Orders!E:E,"")</x:f>
        <x:v>East</x:v>
      </x:c>
      <x:c r="L301" t="n">
        <x:f>XLOOKUP(B301,Orders!A:A,Orders!B:B,"")</x:f>
        <x:v>45750</x:v>
      </x:c>
      <x:c r="M301" t="str">
        <x:f>XLOOKUP(C301,Products!A:A,Products!C:C,"")</x:f>
        <x:v>Accessories</x:v>
      </x:c>
    </x:row>
    <x:row r="302">
      <x:c r="A302" s="15" t="str">
        <x:v>ITEM00128_2</x:v>
      </x:c>
      <x:c r="B302" s="15" t="str">
        <x:v>ORD00128</x:v>
      </x:c>
      <x:c r="C302" s="15" t="str">
        <x:v>PROD036</x:v>
      </x:c>
      <x:c r="D302" s="15" t="n">
        <x:v>1</x:v>
      </x:c>
      <x:c r="E302" s="15" t="n">
        <x:v>7158.64</x:v>
      </x:c>
      <x:c r="F302" s="15" t="n">
        <x:v>0.15</x:v>
      </x:c>
      <x:c r="G302" s="15" t="n">
        <x:v>7158.64</x:v>
      </x:c>
      <x:c r="H302" s="15" t="n">
        <x:v>6084.84</x:v>
      </x:c>
      <x:c r="I302" s="15" t="n">
        <x:v>5171</x:v>
      </x:c>
      <x:c r="J302" s="15" t="n">
        <x:v>913.84</x:v>
      </x:c>
      <x:c r="K302" t="str">
        <x:f>XLOOKUP(B302,Orders!A:A,Orders!E:E,"")</x:f>
        <x:v>East</x:v>
      </x:c>
      <x:c r="L302" t="n">
        <x:f>XLOOKUP(B302,Orders!A:A,Orders!B:B,"")</x:f>
        <x:v>45750</x:v>
      </x:c>
      <x:c r="M302" t="str">
        <x:f>XLOOKUP(C302,Products!A:A,Products!C:C,"")</x:f>
        <x:v>Accessories</x:v>
      </x:c>
    </x:row>
    <x:row r="303">
      <x:c r="A303" s="15" t="str">
        <x:v>ITEM00129_1</x:v>
      </x:c>
      <x:c r="B303" s="15" t="str">
        <x:v>ORD00129</x:v>
      </x:c>
      <x:c r="C303" s="15" t="str">
        <x:v>PROD015</x:v>
      </x:c>
      <x:c r="D303" s="15" t="n">
        <x:v>7</x:v>
      </x:c>
      <x:c r="E303" s="15" t="n">
        <x:v>5903.1</x:v>
      </x:c>
      <x:c r="F303" s="15" t="n">
        <x:v>0.15</x:v>
      </x:c>
      <x:c r="G303" s="15" t="n">
        <x:v>41321.7</x:v>
      </x:c>
      <x:c r="H303" s="15" t="n">
        <x:v>35123.44</x:v>
      </x:c>
      <x:c r="I303" s="15" t="n">
        <x:v>33495</x:v>
      </x:c>
      <x:c r="J303" s="15" t="n">
        <x:v>1628.44</x:v>
      </x:c>
      <x:c r="K303" t="str">
        <x:f>XLOOKUP(B303,Orders!A:A,Orders!E:E,"")</x:f>
        <x:v>East</x:v>
      </x:c>
      <x:c r="L303" t="n">
        <x:f>XLOOKUP(B303,Orders!A:A,Orders!B:B,"")</x:f>
        <x:v>45903</x:v>
      </x:c>
      <x:c r="M303" t="str">
        <x:f>XLOOKUP(C303,Products!A:A,Products!C:C,"")</x:f>
        <x:v>Electronics</x:v>
      </x:c>
    </x:row>
    <x:row r="304">
      <x:c r="A304" s="15" t="str">
        <x:v>ITEM00129_2</x:v>
      </x:c>
      <x:c r="B304" s="15" t="str">
        <x:v>ORD00129</x:v>
      </x:c>
      <x:c r="C304" s="15" t="str">
        <x:v>PROD007</x:v>
      </x:c>
      <x:c r="D304" s="15" t="n">
        <x:v>8</x:v>
      </x:c>
      <x:c r="E304" s="15" t="n">
        <x:v>5013.07</x:v>
      </x:c>
      <x:c r="F304" s="15" t="n">
        <x:v>0.15</x:v>
      </x:c>
      <x:c r="G304" s="15" t="n">
        <x:v>40104.56</x:v>
      </x:c>
      <x:c r="H304" s="15" t="n">
        <x:v>34088.88</x:v>
      </x:c>
      <x:c r="I304" s="15" t="n">
        <x:v>31528</x:v>
      </x:c>
      <x:c r="J304" s="15" t="n">
        <x:v>2560.88</x:v>
      </x:c>
      <x:c r="K304" t="str">
        <x:f>XLOOKUP(B304,Orders!A:A,Orders!E:E,"")</x:f>
        <x:v>East</x:v>
      </x:c>
      <x:c r="L304" t="n">
        <x:f>XLOOKUP(B304,Orders!A:A,Orders!B:B,"")</x:f>
        <x:v>45903</x:v>
      </x:c>
      <x:c r="M304" t="str">
        <x:f>XLOOKUP(C304,Products!A:A,Products!C:C,"")</x:f>
        <x:v>Electronics</x:v>
      </x:c>
    </x:row>
    <x:row r="305">
      <x:c r="A305" s="15" t="str">
        <x:v>ITEM00129_3</x:v>
      </x:c>
      <x:c r="B305" s="15" t="str">
        <x:v>ORD00129</x:v>
      </x:c>
      <x:c r="C305" s="15" t="str">
        <x:v>PROD004</x:v>
      </x:c>
      <x:c r="D305" s="15" t="n">
        <x:v>4</x:v>
      </x:c>
      <x:c r="E305" s="15" t="n">
        <x:v>5435.39</x:v>
      </x:c>
      <x:c r="F305" s="15" t="n">
        <x:v>0.15</x:v>
      </x:c>
      <x:c r="G305" s="15" t="n">
        <x:v>21741.56</x:v>
      </x:c>
      <x:c r="H305" s="15" t="n">
        <x:v>18480.33</x:v>
      </x:c>
      <x:c r="I305" s="15" t="n">
        <x:v>16564</x:v>
      </x:c>
      <x:c r="J305" s="15" t="n">
        <x:v>1916.33</x:v>
      </x:c>
      <x:c r="K305" t="str">
        <x:f>XLOOKUP(B305,Orders!A:A,Orders!E:E,"")</x:f>
        <x:v>East</x:v>
      </x:c>
      <x:c r="L305" t="n">
        <x:f>XLOOKUP(B305,Orders!A:A,Orders!B:B,"")</x:f>
        <x:v>45903</x:v>
      </x:c>
      <x:c r="M305" t="str">
        <x:f>XLOOKUP(C305,Products!A:A,Products!C:C,"")</x:f>
        <x:v>Office Supplies</x:v>
      </x:c>
    </x:row>
    <x:row r="306">
      <x:c r="A306" s="15" t="str">
        <x:v>ITEM00130_1</x:v>
      </x:c>
      <x:c r="B306" s="15" t="str">
        <x:v>ORD00130</x:v>
      </x:c>
      <x:c r="C306" s="15" t="str">
        <x:v>PROD018</x:v>
      </x:c>
      <x:c r="D306" s="15" t="n">
        <x:v>8</x:v>
      </x:c>
      <x:c r="E306" s="15" t="n">
        <x:v>5637.8</x:v>
      </x:c>
      <x:c r="F306" s="15" t="n">
        <x:v>0.1</x:v>
      </x:c>
      <x:c r="G306" s="15" t="n">
        <x:v>45102.4</x:v>
      </x:c>
      <x:c r="H306" s="15" t="n">
        <x:v>40592.16</x:v>
      </x:c>
      <x:c r="I306" s="15" t="n">
        <x:v>33688</x:v>
      </x:c>
      <x:c r="J306" s="15" t="n">
        <x:v>6904.16</x:v>
      </x:c>
      <x:c r="K306" t="str">
        <x:f>XLOOKUP(B306,Orders!A:A,Orders!E:E,"")</x:f>
        <x:v>South</x:v>
      </x:c>
      <x:c r="L306" t="n">
        <x:f>XLOOKUP(B306,Orders!A:A,Orders!B:B,"")</x:f>
        <x:v>46086</x:v>
      </x:c>
      <x:c r="M306" t="str">
        <x:f>XLOOKUP(C306,Products!A:A,Products!C:C,"")</x:f>
        <x:v>Electronics</x:v>
      </x:c>
    </x:row>
    <x:row r="307">
      <x:c r="A307" s="15" t="str">
        <x:v>ITEM00131_1</x:v>
      </x:c>
      <x:c r="B307" s="15" t="str">
        <x:v>ORD00131</x:v>
      </x:c>
      <x:c r="C307" s="15" t="str">
        <x:v>PROD016</x:v>
      </x:c>
      <x:c r="D307" s="15" t="n">
        <x:v>4</x:v>
      </x:c>
      <x:c r="E307" s="15" t="n">
        <x:v>3884.33</x:v>
      </x:c>
      <x:c r="F307" s="15" t="n">
        <x:v>0</x:v>
      </x:c>
      <x:c r="G307" s="15" t="n">
        <x:v>15537.32</x:v>
      </x:c>
      <x:c r="H307" s="15" t="n">
        <x:v>15537.32</x:v>
      </x:c>
      <x:c r="I307" s="15" t="n">
        <x:v>12188</x:v>
      </x:c>
      <x:c r="J307" s="15" t="n">
        <x:v>3349.32</x:v>
      </x:c>
      <x:c r="K307" t="str">
        <x:f>XLOOKUP(B307,Orders!A:A,Orders!E:E,"")</x:f>
        <x:v>South</x:v>
      </x:c>
      <x:c r="L307" t="n">
        <x:f>XLOOKUP(B307,Orders!A:A,Orders!B:B,"")</x:f>
        <x:v>45965</x:v>
      </x:c>
      <x:c r="M307" t="str">
        <x:f>XLOOKUP(C307,Products!A:A,Products!C:C,"")</x:f>
        <x:v>Electronics</x:v>
      </x:c>
    </x:row>
    <x:row r="308">
      <x:c r="A308" s="15" t="str">
        <x:v>ITEM00131_2</x:v>
      </x:c>
      <x:c r="B308" s="15" t="str">
        <x:v>ORD00131</x:v>
      </x:c>
      <x:c r="C308" s="15" t="str">
        <x:v>PROD027</x:v>
      </x:c>
      <x:c r="D308" s="15" t="n">
        <x:v>3</x:v>
      </x:c>
      <x:c r="E308" s="15" t="n">
        <x:v>6979.71</x:v>
      </x:c>
      <x:c r="F308" s="15" t="n">
        <x:v>0.1</x:v>
      </x:c>
      <x:c r="G308" s="15" t="n">
        <x:v>20939.13</x:v>
      </x:c>
      <x:c r="H308" s="15" t="n">
        <x:v>18845.22</x:v>
      </x:c>
      <x:c r="I308" s="15" t="n">
        <x:v>16911</x:v>
      </x:c>
      <x:c r="J308" s="15" t="n">
        <x:v>1934.22</x:v>
      </x:c>
      <x:c r="K308" t="str">
        <x:f>XLOOKUP(B308,Orders!A:A,Orders!E:E,"")</x:f>
        <x:v>South</x:v>
      </x:c>
      <x:c r="L308" t="n">
        <x:f>XLOOKUP(B308,Orders!A:A,Orders!B:B,"")</x:f>
        <x:v>45965</x:v>
      </x:c>
      <x:c r="M308" t="str">
        <x:f>XLOOKUP(C308,Products!A:A,Products!C:C,"")</x:f>
        <x:v>Electronics</x:v>
      </x:c>
    </x:row>
    <x:row r="309">
      <x:c r="A309" s="15" t="str">
        <x:v>ITEM00131_3</x:v>
      </x:c>
      <x:c r="B309" s="15" t="str">
        <x:v>ORD00131</x:v>
      </x:c>
      <x:c r="C309" s="15" t="str">
        <x:v>PROD022</x:v>
      </x:c>
      <x:c r="D309" s="15" t="n">
        <x:v>3</x:v>
      </x:c>
      <x:c r="E309" s="15" t="n">
        <x:v>7775.36</x:v>
      </x:c>
      <x:c r="F309" s="15" t="n">
        <x:v>0.15</x:v>
      </x:c>
      <x:c r="G309" s="15" t="n">
        <x:v>23326.08</x:v>
      </x:c>
      <x:c r="H309" s="15" t="n">
        <x:v>19827.17</x:v>
      </x:c>
      <x:c r="I309" s="15" t="n">
        <x:v>18993</x:v>
      </x:c>
      <x:c r="J309" s="15" t="n">
        <x:v>834.17</x:v>
      </x:c>
      <x:c r="K309" t="str">
        <x:f>XLOOKUP(B309,Orders!A:A,Orders!E:E,"")</x:f>
        <x:v>South</x:v>
      </x:c>
      <x:c r="L309" t="n">
        <x:f>XLOOKUP(B309,Orders!A:A,Orders!B:B,"")</x:f>
        <x:v>45965</x:v>
      </x:c>
      <x:c r="M309" t="str">
        <x:f>XLOOKUP(C309,Products!A:A,Products!C:C,"")</x:f>
        <x:v>Furniture</x:v>
      </x:c>
    </x:row>
    <x:row r="310">
      <x:c r="A310" s="15" t="str">
        <x:v>ITEM00132_1</x:v>
      </x:c>
      <x:c r="B310" s="15" t="str">
        <x:v>ORD00132</x:v>
      </x:c>
      <x:c r="C310" s="15" t="str">
        <x:v>PROD036</x:v>
      </x:c>
      <x:c r="D310" s="15" t="n">
        <x:v>2</x:v>
      </x:c>
      <x:c r="E310" s="15" t="n">
        <x:v>7158.64</x:v>
      </x:c>
      <x:c r="F310" s="15" t="n">
        <x:v>0</x:v>
      </x:c>
      <x:c r="G310" s="15" t="n">
        <x:v>14317.28</x:v>
      </x:c>
      <x:c r="H310" s="15" t="n">
        <x:v>14317.28</x:v>
      </x:c>
      <x:c r="I310" s="15" t="n">
        <x:v>10342</x:v>
      </x:c>
      <x:c r="J310" s="15" t="n">
        <x:v>3975.28</x:v>
      </x:c>
      <x:c r="K310" t="str">
        <x:f>XLOOKUP(B310,Orders!A:A,Orders!E:E,"")</x:f>
        <x:v>North</x:v>
      </x:c>
      <x:c r="L310" t="n">
        <x:f>XLOOKUP(B310,Orders!A:A,Orders!B:B,"")</x:f>
        <x:v>45665</x:v>
      </x:c>
      <x:c r="M310" t="str">
        <x:f>XLOOKUP(C310,Products!A:A,Products!C:C,"")</x:f>
        <x:v>Accessories</x:v>
      </x:c>
    </x:row>
    <x:row r="311">
      <x:c r="A311" s="15" t="str">
        <x:v>ITEM00132_2</x:v>
      </x:c>
      <x:c r="B311" s="15" t="str">
        <x:v>ORD00132</x:v>
      </x:c>
      <x:c r="C311" s="15" t="str">
        <x:v>PROD038</x:v>
      </x:c>
      <x:c r="D311" s="15" t="n">
        <x:v>5</x:v>
      </x:c>
      <x:c r="E311" s="15" t="n">
        <x:v>5219.7</x:v>
      </x:c>
      <x:c r="F311" s="15" t="n">
        <x:v>0.15</x:v>
      </x:c>
      <x:c r="G311" s="15" t="n">
        <x:v>26098.5</x:v>
      </x:c>
      <x:c r="H311" s="15" t="n">
        <x:v>22183.72</x:v>
      </x:c>
      <x:c r="I311" s="15" t="n">
        <x:v>19680</x:v>
      </x:c>
      <x:c r="J311" s="15" t="n">
        <x:v>2503.72</x:v>
      </x:c>
      <x:c r="K311" t="str">
        <x:f>XLOOKUP(B311,Orders!A:A,Orders!E:E,"")</x:f>
        <x:v>North</x:v>
      </x:c>
      <x:c r="L311" t="n">
        <x:f>XLOOKUP(B311,Orders!A:A,Orders!B:B,"")</x:f>
        <x:v>45665</x:v>
      </x:c>
      <x:c r="M311" t="str">
        <x:f>XLOOKUP(C311,Products!A:A,Products!C:C,"")</x:f>
        <x:v>Office Supplies</x:v>
      </x:c>
    </x:row>
    <x:row r="312">
      <x:c r="A312" s="15" t="str">
        <x:v>ITEM00132_3</x:v>
      </x:c>
      <x:c r="B312" s="15" t="str">
        <x:v>ORD00132</x:v>
      </x:c>
      <x:c r="C312" s="15" t="str">
        <x:v>PROD003</x:v>
      </x:c>
      <x:c r="D312" s="15" t="n">
        <x:v>8</x:v>
      </x:c>
      <x:c r="E312" s="15" t="n">
        <x:v>10757.89</x:v>
      </x:c>
      <x:c r="F312" s="15" t="n">
        <x:v>0</x:v>
      </x:c>
      <x:c r="G312" s="15" t="n">
        <x:v>86063.12</x:v>
      </x:c>
      <x:c r="H312" s="15" t="n">
        <x:v>86063.12</x:v>
      </x:c>
      <x:c r="I312" s="15" t="n">
        <x:v>59368</x:v>
      </x:c>
      <x:c r="J312" s="15" t="n">
        <x:v>26695.12</x:v>
      </x:c>
      <x:c r="K312" t="str">
        <x:f>XLOOKUP(B312,Orders!A:A,Orders!E:E,"")</x:f>
        <x:v>North</x:v>
      </x:c>
      <x:c r="L312" t="n">
        <x:f>XLOOKUP(B312,Orders!A:A,Orders!B:B,"")</x:f>
        <x:v>45665</x:v>
      </x:c>
      <x:c r="M312" t="str">
        <x:f>XLOOKUP(C312,Products!A:A,Products!C:C,"")</x:f>
        <x:v>Accessories</x:v>
      </x:c>
    </x:row>
    <x:row r="313">
      <x:c r="A313" s="15" t="str">
        <x:v>ITEM00132_4</x:v>
      </x:c>
      <x:c r="B313" s="15" t="str">
        <x:v>ORD00132</x:v>
      </x:c>
      <x:c r="C313" s="15" t="str">
        <x:v>PROD040</x:v>
      </x:c>
      <x:c r="D313" s="15" t="n">
        <x:v>7</x:v>
      </x:c>
      <x:c r="E313" s="15" t="n">
        <x:v>8561.07</x:v>
      </x:c>
      <x:c r="F313" s="15" t="n">
        <x:v>0.1</x:v>
      </x:c>
      <x:c r="G313" s="15" t="n">
        <x:v>59927.49</x:v>
      </x:c>
      <x:c r="H313" s="15" t="n">
        <x:v>53934.74</x:v>
      </x:c>
      <x:c r="I313" s="15" t="n">
        <x:v>47887</x:v>
      </x:c>
      <x:c r="J313" s="15" t="n">
        <x:v>6047.74</x:v>
      </x:c>
      <x:c r="K313" t="str">
        <x:f>XLOOKUP(B313,Orders!A:A,Orders!E:E,"")</x:f>
        <x:v>North</x:v>
      </x:c>
      <x:c r="L313" t="n">
        <x:f>XLOOKUP(B313,Orders!A:A,Orders!B:B,"")</x:f>
        <x:v>45665</x:v>
      </x:c>
      <x:c r="M313" t="str">
        <x:f>XLOOKUP(C313,Products!A:A,Products!C:C,"")</x:f>
        <x:v>Electronics</x:v>
      </x:c>
    </x:row>
    <x:row r="314">
      <x:c r="A314" s="15" t="str">
        <x:v>ITEM00133_1</x:v>
      </x:c>
      <x:c r="B314" s="15" t="str">
        <x:v>ORD00133</x:v>
      </x:c>
      <x:c r="C314" s="15" t="str">
        <x:v>PROD001</x:v>
      </x:c>
      <x:c r="D314" s="15" t="n">
        <x:v>7</x:v>
      </x:c>
      <x:c r="E314" s="15" t="n">
        <x:v>8672.7</x:v>
      </x:c>
      <x:c r="F314" s="15" t="n">
        <x:v>0.1</x:v>
      </x:c>
      <x:c r="G314" s="15" t="n">
        <x:v>60708.9</x:v>
      </x:c>
      <x:c r="H314" s="15" t="n">
        <x:v>54638.01</x:v>
      </x:c>
      <x:c r="I314" s="15" t="n">
        <x:v>43141</x:v>
      </x:c>
      <x:c r="J314" s="15" t="n">
        <x:v>11497.01</x:v>
      </x:c>
      <x:c r="K314" t="str">
        <x:f>XLOOKUP(B314,Orders!A:A,Orders!E:E,"")</x:f>
        <x:v>West</x:v>
      </x:c>
      <x:c r="L314" t="n">
        <x:f>XLOOKUP(B314,Orders!A:A,Orders!B:B,"")</x:f>
        <x:v>45875</x:v>
      </x:c>
      <x:c r="M314" t="str">
        <x:f>XLOOKUP(C314,Products!A:A,Products!C:C,"")</x:f>
        <x:v>Office Supplies</x:v>
      </x:c>
    </x:row>
    <x:row r="315">
      <x:c r="A315" s="15" t="str">
        <x:v>ITEM00133_2</x:v>
      </x:c>
      <x:c r="B315" s="15" t="str">
        <x:v>ORD00133</x:v>
      </x:c>
      <x:c r="C315" s="15" t="str">
        <x:v>PROD003</x:v>
      </x:c>
      <x:c r="D315" s="15" t="n">
        <x:v>4</x:v>
      </x:c>
      <x:c r="E315" s="15" t="n">
        <x:v>10757.89</x:v>
      </x:c>
      <x:c r="F315" s="15" t="n">
        <x:v>0.15</x:v>
      </x:c>
      <x:c r="G315" s="15" t="n">
        <x:v>43031.56</x:v>
      </x:c>
      <x:c r="H315" s="15" t="n">
        <x:v>36576.83</x:v>
      </x:c>
      <x:c r="I315" s="15" t="n">
        <x:v>29684</x:v>
      </x:c>
      <x:c r="J315" s="15" t="n">
        <x:v>6892.83</x:v>
      </x:c>
      <x:c r="K315" t="str">
        <x:f>XLOOKUP(B315,Orders!A:A,Orders!E:E,"")</x:f>
        <x:v>West</x:v>
      </x:c>
      <x:c r="L315" t="n">
        <x:f>XLOOKUP(B315,Orders!A:A,Orders!B:B,"")</x:f>
        <x:v>45875</x:v>
      </x:c>
      <x:c r="M315" t="str">
        <x:f>XLOOKUP(C315,Products!A:A,Products!C:C,"")</x:f>
        <x:v>Accessories</x:v>
      </x:c>
    </x:row>
    <x:row r="316">
      <x:c r="A316" s="15" t="str">
        <x:v>ITEM00134_1</x:v>
      </x:c>
      <x:c r="B316" s="15" t="str">
        <x:v>ORD00134</x:v>
      </x:c>
      <x:c r="C316" s="15" t="str">
        <x:v>PROD001</x:v>
      </x:c>
      <x:c r="D316" s="15" t="n">
        <x:v>7</x:v>
      </x:c>
      <x:c r="E316" s="15" t="n">
        <x:v>8672.7</x:v>
      </x:c>
      <x:c r="F316" s="15" t="n">
        <x:v>0.05</x:v>
      </x:c>
      <x:c r="G316" s="15" t="n">
        <x:v>60708.9</x:v>
      </x:c>
      <x:c r="H316" s="15" t="n">
        <x:v>57673.46</x:v>
      </x:c>
      <x:c r="I316" s="15" t="n">
        <x:v>43141</x:v>
      </x:c>
      <x:c r="J316" s="15" t="n">
        <x:v>14532.46</x:v>
      </x:c>
      <x:c r="K316" t="str">
        <x:f>XLOOKUP(B316,Orders!A:A,Orders!E:E,"")</x:f>
        <x:v>West</x:v>
      </x:c>
      <x:c r="L316" t="n">
        <x:f>XLOOKUP(B316,Orders!A:A,Orders!B:B,"")</x:f>
        <x:v>46149</x:v>
      </x:c>
      <x:c r="M316" t="str">
        <x:f>XLOOKUP(C316,Products!A:A,Products!C:C,"")</x:f>
        <x:v>Office Supplies</x:v>
      </x:c>
    </x:row>
    <x:row r="317">
      <x:c r="A317" s="15" t="str">
        <x:v>ITEM00134_2</x:v>
      </x:c>
      <x:c r="B317" s="15" t="str">
        <x:v>ORD00134</x:v>
      </x:c>
      <x:c r="C317" s="15" t="str">
        <x:v>PROD001</x:v>
      </x:c>
      <x:c r="D317" s="15" t="n">
        <x:v>8</x:v>
      </x:c>
      <x:c r="E317" s="15" t="n">
        <x:v>8672.7</x:v>
      </x:c>
      <x:c r="F317" s="15" t="n">
        <x:v>0.1</x:v>
      </x:c>
      <x:c r="G317" s="15" t="n">
        <x:v>69381.6</x:v>
      </x:c>
      <x:c r="H317" s="15" t="n">
        <x:v>62443.44</x:v>
      </x:c>
      <x:c r="I317" s="15" t="n">
        <x:v>49304</x:v>
      </x:c>
      <x:c r="J317" s="15" t="n">
        <x:v>13139.44</x:v>
      </x:c>
      <x:c r="K317" t="str">
        <x:f>XLOOKUP(B317,Orders!A:A,Orders!E:E,"")</x:f>
        <x:v>West</x:v>
      </x:c>
      <x:c r="L317" t="n">
        <x:f>XLOOKUP(B317,Orders!A:A,Orders!B:B,"")</x:f>
        <x:v>46149</x:v>
      </x:c>
      <x:c r="M317" t="str">
        <x:f>XLOOKUP(C317,Products!A:A,Products!C:C,"")</x:f>
        <x:v>Office Supplies</x:v>
      </x:c>
    </x:row>
    <x:row r="318">
      <x:c r="A318" s="15" t="str">
        <x:v>ITEM00134_3</x:v>
      </x:c>
      <x:c r="B318" s="15" t="str">
        <x:v>ORD00134</x:v>
      </x:c>
      <x:c r="C318" s="15" t="str">
        <x:v>PROD017</x:v>
      </x:c>
      <x:c r="D318" s="15" t="n">
        <x:v>3</x:v>
      </x:c>
      <x:c r="E318" s="15" t="n">
        <x:v>7311.62</x:v>
      </x:c>
      <x:c r="F318" s="15" t="n">
        <x:v>0.1</x:v>
      </x:c>
      <x:c r="G318" s="15" t="n">
        <x:v>21934.86</x:v>
      </x:c>
      <x:c r="H318" s="15" t="n">
        <x:v>19741.37</x:v>
      </x:c>
      <x:c r="I318" s="15" t="n">
        <x:v>15774</x:v>
      </x:c>
      <x:c r="J318" s="15" t="n">
        <x:v>3967.37</x:v>
      </x:c>
      <x:c r="K318" t="str">
        <x:f>XLOOKUP(B318,Orders!A:A,Orders!E:E,"")</x:f>
        <x:v>West</x:v>
      </x:c>
      <x:c r="L318" t="n">
        <x:f>XLOOKUP(B318,Orders!A:A,Orders!B:B,"")</x:f>
        <x:v>46149</x:v>
      </x:c>
      <x:c r="M318" t="str">
        <x:f>XLOOKUP(C318,Products!A:A,Products!C:C,"")</x:f>
        <x:v>Accessories</x:v>
      </x:c>
    </x:row>
    <x:row r="319">
      <x:c r="A319" s="15" t="str">
        <x:v>ITEM00134_4</x:v>
      </x:c>
      <x:c r="B319" s="15" t="str">
        <x:v>ORD00134</x:v>
      </x:c>
      <x:c r="C319" s="15" t="str">
        <x:v>PROD013</x:v>
      </x:c>
      <x:c r="D319" s="15" t="n">
        <x:v>4</x:v>
      </x:c>
      <x:c r="E319" s="15" t="n">
        <x:v>7614.02</x:v>
      </x:c>
      <x:c r="F319" s="15" t="n">
        <x:v>0.1</x:v>
      </x:c>
      <x:c r="G319" s="15" t="n">
        <x:v>30456.08</x:v>
      </x:c>
      <x:c r="H319" s="15" t="n">
        <x:v>27410.47</x:v>
      </x:c>
      <x:c r="I319" s="15" t="n">
        <x:v>24308</x:v>
      </x:c>
      <x:c r="J319" s="15" t="n">
        <x:v>3102.47</x:v>
      </x:c>
      <x:c r="K319" t="str">
        <x:f>XLOOKUP(B319,Orders!A:A,Orders!E:E,"")</x:f>
        <x:v>West</x:v>
      </x:c>
      <x:c r="L319" t="n">
        <x:f>XLOOKUP(B319,Orders!A:A,Orders!B:B,"")</x:f>
        <x:v>46149</x:v>
      </x:c>
      <x:c r="M319" t="str">
        <x:f>XLOOKUP(C319,Products!A:A,Products!C:C,"")</x:f>
        <x:v>Furniture</x:v>
      </x:c>
    </x:row>
    <x:row r="320">
      <x:c r="A320" s="15" t="str">
        <x:v>ITEM00135_1</x:v>
      </x:c>
      <x:c r="B320" s="15" t="str">
        <x:v>ORD00135</x:v>
      </x:c>
      <x:c r="C320" s="15" t="str">
        <x:v>PROD007</x:v>
      </x:c>
      <x:c r="D320" s="15" t="n">
        <x:v>5</x:v>
      </x:c>
      <x:c r="E320" s="15" t="n">
        <x:v>5013.07</x:v>
      </x:c>
      <x:c r="F320" s="15" t="n">
        <x:v>0</x:v>
      </x:c>
      <x:c r="G320" s="15" t="n">
        <x:v>25065.35</x:v>
      </x:c>
      <x:c r="H320" s="15" t="n">
        <x:v>25065.35</x:v>
      </x:c>
      <x:c r="I320" s="15" t="n">
        <x:v>19705</x:v>
      </x:c>
      <x:c r="J320" s="15" t="n">
        <x:v>5360.35</x:v>
      </x:c>
      <x:c r="K320" t="str">
        <x:f>XLOOKUP(B320,Orders!A:A,Orders!E:E,"")</x:f>
        <x:v>East</x:v>
      </x:c>
      <x:c r="L320" t="n">
        <x:f>XLOOKUP(B320,Orders!A:A,Orders!B:B,"")</x:f>
        <x:v>46106</x:v>
      </x:c>
      <x:c r="M320" t="str">
        <x:f>XLOOKUP(C320,Products!A:A,Products!C:C,"")</x:f>
        <x:v>Electronics</x:v>
      </x:c>
    </x:row>
    <x:row r="321">
      <x:c r="A321" s="15" t="str">
        <x:v>ITEM00136_1</x:v>
      </x:c>
      <x:c r="B321" s="15" t="str">
        <x:v>ORD00136</x:v>
      </x:c>
      <x:c r="C321" s="15" t="str">
        <x:v>PROD040</x:v>
      </x:c>
      <x:c r="D321" s="15" t="n">
        <x:v>1</x:v>
      </x:c>
      <x:c r="E321" s="15" t="n">
        <x:v>8561.07</x:v>
      </x:c>
      <x:c r="F321" s="15" t="n">
        <x:v>0.05</x:v>
      </x:c>
      <x:c r="G321" s="15" t="n">
        <x:v>8561.07</x:v>
      </x:c>
      <x:c r="H321" s="15" t="n">
        <x:v>8133.02</x:v>
      </x:c>
      <x:c r="I321" s="15" t="n">
        <x:v>6841</x:v>
      </x:c>
      <x:c r="J321" s="15" t="n">
        <x:v>1292.02</x:v>
      </x:c>
      <x:c r="K321" t="str">
        <x:f>XLOOKUP(B321,Orders!A:A,Orders!E:E,"")</x:f>
        <x:v>North</x:v>
      </x:c>
      <x:c r="L321" t="n">
        <x:f>XLOOKUP(B321,Orders!A:A,Orders!B:B,"")</x:f>
        <x:v>45692</x:v>
      </x:c>
      <x:c r="M321" t="str">
        <x:f>XLOOKUP(C321,Products!A:A,Products!C:C,"")</x:f>
        <x:v>Electronics</x:v>
      </x:c>
    </x:row>
    <x:row r="322">
      <x:c r="A322" s="15" t="str">
        <x:v>ITEM00137_1</x:v>
      </x:c>
      <x:c r="B322" s="15" t="str">
        <x:v>ORD00137</x:v>
      </x:c>
      <x:c r="C322" s="15" t="str">
        <x:v>PROD038</x:v>
      </x:c>
      <x:c r="D322" s="15" t="n">
        <x:v>3</x:v>
      </x:c>
      <x:c r="E322" s="15" t="n">
        <x:v>5219.7</x:v>
      </x:c>
      <x:c r="F322" s="15" t="n">
        <x:v>0</x:v>
      </x:c>
      <x:c r="G322" s="15" t="n">
        <x:v>15659.1</x:v>
      </x:c>
      <x:c r="H322" s="15" t="n">
        <x:v>15659.1</x:v>
      </x:c>
      <x:c r="I322" s="15" t="n">
        <x:v>11808</x:v>
      </x:c>
      <x:c r="J322" s="15" t="n">
        <x:v>3851.1</x:v>
      </x:c>
      <x:c r="K322" t="str">
        <x:f>XLOOKUP(B322,Orders!A:A,Orders!E:E,"")</x:f>
        <x:v>North</x:v>
      </x:c>
      <x:c r="L322" t="n">
        <x:f>XLOOKUP(B322,Orders!A:A,Orders!B:B,"")</x:f>
        <x:v>45920</x:v>
      </x:c>
      <x:c r="M322" t="str">
        <x:f>XLOOKUP(C322,Products!A:A,Products!C:C,"")</x:f>
        <x:v>Office Supplies</x:v>
      </x:c>
    </x:row>
    <x:row r="323">
      <x:c r="A323" s="15" t="str">
        <x:v>ITEM00137_2</x:v>
      </x:c>
      <x:c r="B323" s="15" t="str">
        <x:v>ORD00137</x:v>
      </x:c>
      <x:c r="C323" s="15" t="str">
        <x:v>PROD013</x:v>
      </x:c>
      <x:c r="D323" s="15" t="n">
        <x:v>7</x:v>
      </x:c>
      <x:c r="E323" s="15" t="n">
        <x:v>7614.02</x:v>
      </x:c>
      <x:c r="F323" s="15" t="n">
        <x:v>0</x:v>
      </x:c>
      <x:c r="G323" s="15" t="n">
        <x:v>53298.14</x:v>
      </x:c>
      <x:c r="H323" s="15" t="n">
        <x:v>53298.14</x:v>
      </x:c>
      <x:c r="I323" s="15" t="n">
        <x:v>42539</x:v>
      </x:c>
      <x:c r="J323" s="15" t="n">
        <x:v>10759.14</x:v>
      </x:c>
      <x:c r="K323" t="str">
        <x:f>XLOOKUP(B323,Orders!A:A,Orders!E:E,"")</x:f>
        <x:v>North</x:v>
      </x:c>
      <x:c r="L323" t="n">
        <x:f>XLOOKUP(B323,Orders!A:A,Orders!B:B,"")</x:f>
        <x:v>45920</x:v>
      </x:c>
      <x:c r="M323" t="str">
        <x:f>XLOOKUP(C323,Products!A:A,Products!C:C,"")</x:f>
        <x:v>Furniture</x:v>
      </x:c>
    </x:row>
    <x:row r="324">
      <x:c r="A324" s="15" t="str">
        <x:v>ITEM00138_1</x:v>
      </x:c>
      <x:c r="B324" s="15" t="str">
        <x:v>ORD00138</x:v>
      </x:c>
      <x:c r="C324" s="15" t="str">
        <x:v>PROD008</x:v>
      </x:c>
      <x:c r="D324" s="15" t="n">
        <x:v>3</x:v>
      </x:c>
      <x:c r="E324" s="15" t="n">
        <x:v>8534.48</x:v>
      </x:c>
      <x:c r="F324" s="15" t="n">
        <x:v>0</x:v>
      </x:c>
      <x:c r="G324" s="15" t="n">
        <x:v>25603.44</x:v>
      </x:c>
      <x:c r="H324" s="15" t="n">
        <x:v>25603.44</x:v>
      </x:c>
      <x:c r="I324" s="15" t="n">
        <x:v>18591</x:v>
      </x:c>
      <x:c r="J324" s="15" t="n">
        <x:v>7012.44</x:v>
      </x:c>
      <x:c r="K324" t="str">
        <x:f>XLOOKUP(B324,Orders!A:A,Orders!E:E,"")</x:f>
        <x:v>East</x:v>
      </x:c>
      <x:c r="L324" t="n">
        <x:f>XLOOKUP(B324,Orders!A:A,Orders!B:B,"")</x:f>
        <x:v>45658</x:v>
      </x:c>
      <x:c r="M324" t="str">
        <x:f>XLOOKUP(C324,Products!A:A,Products!C:C,"")</x:f>
        <x:v>Office Supplies</x:v>
      </x:c>
    </x:row>
    <x:row r="325">
      <x:c r="A325" s="15" t="str">
        <x:v>ITEM00139_1</x:v>
      </x:c>
      <x:c r="B325" s="15" t="str">
        <x:v>ORD00139</x:v>
      </x:c>
      <x:c r="C325" s="15" t="str">
        <x:v>PROD036</x:v>
      </x:c>
      <x:c r="D325" s="15" t="n">
        <x:v>1</x:v>
      </x:c>
      <x:c r="E325" s="15" t="n">
        <x:v>7158.64</x:v>
      </x:c>
      <x:c r="F325" s="15" t="n">
        <x:v>0</x:v>
      </x:c>
      <x:c r="G325" s="15" t="n">
        <x:v>7158.64</x:v>
      </x:c>
      <x:c r="H325" s="15" t="n">
        <x:v>7158.64</x:v>
      </x:c>
      <x:c r="I325" s="15" t="n">
        <x:v>5171</x:v>
      </x:c>
      <x:c r="J325" s="15" t="n">
        <x:v>1987.64</x:v>
      </x:c>
      <x:c r="K325" t="str">
        <x:f>XLOOKUP(B325,Orders!A:A,Orders!E:E,"")</x:f>
        <x:v>North</x:v>
      </x:c>
      <x:c r="L325" t="n">
        <x:f>XLOOKUP(B325,Orders!A:A,Orders!B:B,"")</x:f>
        <x:v>45965</x:v>
      </x:c>
      <x:c r="M325" t="str">
        <x:f>XLOOKUP(C325,Products!A:A,Products!C:C,"")</x:f>
        <x:v>Accessories</x:v>
      </x:c>
    </x:row>
    <x:row r="326">
      <x:c r="A326" s="15" t="str">
        <x:v>ITEM00139_2</x:v>
      </x:c>
      <x:c r="B326" s="15" t="str">
        <x:v>ORD00139</x:v>
      </x:c>
      <x:c r="C326" s="15" t="str">
        <x:v>PROD037</x:v>
      </x:c>
      <x:c r="D326" s="15" t="n">
        <x:v>6</x:v>
      </x:c>
      <x:c r="E326" s="15" t="n">
        <x:v>9876.8</x:v>
      </x:c>
      <x:c r="F326" s="15" t="n">
        <x:v>0.05</x:v>
      </x:c>
      <x:c r="G326" s="15" t="n">
        <x:v>59260.8</x:v>
      </x:c>
      <x:c r="H326" s="15" t="n">
        <x:v>56297.76</x:v>
      </x:c>
      <x:c r="I326" s="15" t="n">
        <x:v>42744</x:v>
      </x:c>
      <x:c r="J326" s="15" t="n">
        <x:v>13553.76</x:v>
      </x:c>
      <x:c r="K326" t="str">
        <x:f>XLOOKUP(B326,Orders!A:A,Orders!E:E,"")</x:f>
        <x:v>North</x:v>
      </x:c>
      <x:c r="L326" t="n">
        <x:f>XLOOKUP(B326,Orders!A:A,Orders!B:B,"")</x:f>
        <x:v>45965</x:v>
      </x:c>
      <x:c r="M326" t="str">
        <x:f>XLOOKUP(C326,Products!A:A,Products!C:C,"")</x:f>
        <x:v>Accessories</x:v>
      </x:c>
    </x:row>
    <x:row r="327">
      <x:c r="A327" s="15" t="str">
        <x:v>ITEM00139_3</x:v>
      </x:c>
      <x:c r="B327" s="15" t="str">
        <x:v>ORD00139</x:v>
      </x:c>
      <x:c r="C327" s="15" t="str">
        <x:v>PROD024</x:v>
      </x:c>
      <x:c r="D327" s="15" t="n">
        <x:v>8</x:v>
      </x:c>
      <x:c r="E327" s="15" t="n">
        <x:v>4018</x:v>
      </x:c>
      <x:c r="F327" s="15" t="n">
        <x:v>0.1</x:v>
      </x:c>
      <x:c r="G327" s="15" t="n">
        <x:v>32144</x:v>
      </x:c>
      <x:c r="H327" s="15" t="n">
        <x:v>28929.6</x:v>
      </x:c>
      <x:c r="I327" s="15" t="n">
        <x:v>25536</x:v>
      </x:c>
      <x:c r="J327" s="15" t="n">
        <x:v>3393.6</x:v>
      </x:c>
      <x:c r="K327" t="str">
        <x:f>XLOOKUP(B327,Orders!A:A,Orders!E:E,"")</x:f>
        <x:v>North</x:v>
      </x:c>
      <x:c r="L327" t="n">
        <x:f>XLOOKUP(B327,Orders!A:A,Orders!B:B,"")</x:f>
        <x:v>45965</x:v>
      </x:c>
      <x:c r="M327" t="str">
        <x:f>XLOOKUP(C327,Products!A:A,Products!C:C,"")</x:f>
        <x:v>Furniture</x:v>
      </x:c>
    </x:row>
    <x:row r="328">
      <x:c r="A328" s="15" t="str">
        <x:v>ITEM00139_4</x:v>
      </x:c>
      <x:c r="B328" s="15" t="str">
        <x:v>ORD00139</x:v>
      </x:c>
      <x:c r="C328" s="15" t="str">
        <x:v>PROD030</x:v>
      </x:c>
      <x:c r="D328" s="15" t="n">
        <x:v>2</x:v>
      </x:c>
      <x:c r="E328" s="15" t="n">
        <x:v>5180.7</x:v>
      </x:c>
      <x:c r="F328" s="15" t="n">
        <x:v>0</x:v>
      </x:c>
      <x:c r="G328" s="15" t="n">
        <x:v>10361.4</x:v>
      </x:c>
      <x:c r="H328" s="15" t="n">
        <x:v>10361.4</x:v>
      </x:c>
      <x:c r="I328" s="15" t="n">
        <x:v>7776</x:v>
      </x:c>
      <x:c r="J328" s="15" t="n">
        <x:v>2585.4</x:v>
      </x:c>
      <x:c r="K328" t="str">
        <x:f>XLOOKUP(B328,Orders!A:A,Orders!E:E,"")</x:f>
        <x:v>North</x:v>
      </x:c>
      <x:c r="L328" t="n">
        <x:f>XLOOKUP(B328,Orders!A:A,Orders!B:B,"")</x:f>
        <x:v>45965</x:v>
      </x:c>
      <x:c r="M328" t="str">
        <x:f>XLOOKUP(C328,Products!A:A,Products!C:C,"")</x:f>
        <x:v>Office Supplies</x:v>
      </x:c>
    </x:row>
    <x:row r="329">
      <x:c r="A329" s="15" t="str">
        <x:v>ITEM00140_1</x:v>
      </x:c>
      <x:c r="B329" s="15" t="str">
        <x:v>ORD00140</x:v>
      </x:c>
      <x:c r="C329" s="15" t="str">
        <x:v>PROD024</x:v>
      </x:c>
      <x:c r="D329" s="15" t="n">
        <x:v>3</x:v>
      </x:c>
      <x:c r="E329" s="15" t="n">
        <x:v>4018</x:v>
      </x:c>
      <x:c r="F329" s="15" t="n">
        <x:v>0.15</x:v>
      </x:c>
      <x:c r="G329" s="15" t="n">
        <x:v>12054</x:v>
      </x:c>
      <x:c r="H329" s="15" t="n">
        <x:v>10245.9</x:v>
      </x:c>
      <x:c r="I329" s="15" t="n">
        <x:v>9576</x:v>
      </x:c>
      <x:c r="J329" s="15" t="n">
        <x:v>669.9</x:v>
      </x:c>
      <x:c r="K329" t="str">
        <x:f>XLOOKUP(B329,Orders!A:A,Orders!E:E,"")</x:f>
        <x:v>North</x:v>
      </x:c>
      <x:c r="L329" t="n">
        <x:f>XLOOKUP(B329,Orders!A:A,Orders!B:B,"")</x:f>
        <x:v>45846</x:v>
      </x:c>
      <x:c r="M329" t="str">
        <x:f>XLOOKUP(C329,Products!A:A,Products!C:C,"")</x:f>
        <x:v>Furniture</x:v>
      </x:c>
    </x:row>
    <x:row r="330">
      <x:c r="A330" s="15" t="str">
        <x:v>ITEM00141_1</x:v>
      </x:c>
      <x:c r="B330" s="15" t="str">
        <x:v>ORD00141</x:v>
      </x:c>
      <x:c r="C330" s="15" t="str">
        <x:v>PROD013</x:v>
      </x:c>
      <x:c r="D330" s="15" t="n">
        <x:v>6</x:v>
      </x:c>
      <x:c r="E330" s="15" t="n">
        <x:v>7614.02</x:v>
      </x:c>
      <x:c r="F330" s="15" t="n">
        <x:v>0</x:v>
      </x:c>
      <x:c r="G330" s="15" t="n">
        <x:v>45684.12</x:v>
      </x:c>
      <x:c r="H330" s="15" t="n">
        <x:v>45684.12</x:v>
      </x:c>
      <x:c r="I330" s="15" t="n">
        <x:v>36462</x:v>
      </x:c>
      <x:c r="J330" s="15" t="n">
        <x:v>9222.12</x:v>
      </x:c>
      <x:c r="K330" t="str">
        <x:f>XLOOKUP(B330,Orders!A:A,Orders!E:E,"")</x:f>
        <x:v>North</x:v>
      </x:c>
      <x:c r="L330" t="n">
        <x:f>XLOOKUP(B330,Orders!A:A,Orders!B:B,"")</x:f>
        <x:v>45745</x:v>
      </x:c>
      <x:c r="M330" t="str">
        <x:f>XLOOKUP(C330,Products!A:A,Products!C:C,"")</x:f>
        <x:v>Furniture</x:v>
      </x:c>
    </x:row>
    <x:row r="331">
      <x:c r="A331" s="15" t="str">
        <x:v>ITEM00142_1</x:v>
      </x:c>
      <x:c r="B331" s="15" t="str">
        <x:v>ORD00142</x:v>
      </x:c>
      <x:c r="C331" s="15" t="str">
        <x:v>PROD037</x:v>
      </x:c>
      <x:c r="D331" s="15" t="n">
        <x:v>2</x:v>
      </x:c>
      <x:c r="E331" s="15" t="n">
        <x:v>9876.8</x:v>
      </x:c>
      <x:c r="F331" s="15" t="n">
        <x:v>0.05</x:v>
      </x:c>
      <x:c r="G331" s="15" t="n">
        <x:v>19753.6</x:v>
      </x:c>
      <x:c r="H331" s="15" t="n">
        <x:v>18765.92</x:v>
      </x:c>
      <x:c r="I331" s="15" t="n">
        <x:v>14248</x:v>
      </x:c>
      <x:c r="J331" s="15" t="n">
        <x:v>4517.92</x:v>
      </x:c>
      <x:c r="K331" t="str">
        <x:f>XLOOKUP(B331,Orders!A:A,Orders!E:E,"")</x:f>
        <x:v>East</x:v>
      </x:c>
      <x:c r="L331" t="n">
        <x:f>XLOOKUP(B331,Orders!A:A,Orders!B:B,"")</x:f>
        <x:v>45989</x:v>
      </x:c>
      <x:c r="M331" t="str">
        <x:f>XLOOKUP(C331,Products!A:A,Products!C:C,"")</x:f>
        <x:v>Accessories</x:v>
      </x:c>
    </x:row>
    <x:row r="332">
      <x:c r="A332" s="15" t="str">
        <x:v>ITEM00142_2</x:v>
      </x:c>
      <x:c r="B332" s="15" t="str">
        <x:v>ORD00142</x:v>
      </x:c>
      <x:c r="C332" s="15" t="str">
        <x:v>PROD036</x:v>
      </x:c>
      <x:c r="D332" s="15" t="n">
        <x:v>5</x:v>
      </x:c>
      <x:c r="E332" s="15" t="n">
        <x:v>7158.64</x:v>
      </x:c>
      <x:c r="F332" s="15" t="n">
        <x:v>0.05</x:v>
      </x:c>
      <x:c r="G332" s="15" t="n">
        <x:v>35793.2</x:v>
      </x:c>
      <x:c r="H332" s="15" t="n">
        <x:v>34003.54</x:v>
      </x:c>
      <x:c r="I332" s="15" t="n">
        <x:v>25855</x:v>
      </x:c>
      <x:c r="J332" s="15" t="n">
        <x:v>8148.54</x:v>
      </x:c>
      <x:c r="K332" t="str">
        <x:f>XLOOKUP(B332,Orders!A:A,Orders!E:E,"")</x:f>
        <x:v>East</x:v>
      </x:c>
      <x:c r="L332" t="n">
        <x:f>XLOOKUP(B332,Orders!A:A,Orders!B:B,"")</x:f>
        <x:v>45989</x:v>
      </x:c>
      <x:c r="M332" t="str">
        <x:f>XLOOKUP(C332,Products!A:A,Products!C:C,"")</x:f>
        <x:v>Accessories</x:v>
      </x:c>
    </x:row>
    <x:row r="333">
      <x:c r="A333" s="15" t="str">
        <x:v>ITEM00143_1</x:v>
      </x:c>
      <x:c r="B333" s="15" t="str">
        <x:v>ORD00143</x:v>
      </x:c>
      <x:c r="C333" s="15" t="str">
        <x:v>PROD038</x:v>
      </x:c>
      <x:c r="D333" s="15" t="n">
        <x:v>2</x:v>
      </x:c>
      <x:c r="E333" s="15" t="n">
        <x:v>5219.7</x:v>
      </x:c>
      <x:c r="F333" s="15" t="n">
        <x:v>0.15</x:v>
      </x:c>
      <x:c r="G333" s="15" t="n">
        <x:v>10439.4</x:v>
      </x:c>
      <x:c r="H333" s="15" t="n">
        <x:v>8873.49</x:v>
      </x:c>
      <x:c r="I333" s="15" t="n">
        <x:v>7872</x:v>
      </x:c>
      <x:c r="J333" s="15" t="n">
        <x:v>1001.49</x:v>
      </x:c>
      <x:c r="K333" t="str">
        <x:f>XLOOKUP(B333,Orders!A:A,Orders!E:E,"")</x:f>
        <x:v>East</x:v>
      </x:c>
      <x:c r="L333" t="n">
        <x:f>XLOOKUP(B333,Orders!A:A,Orders!B:B,"")</x:f>
        <x:v>46011</x:v>
      </x:c>
      <x:c r="M333" t="str">
        <x:f>XLOOKUP(C333,Products!A:A,Products!C:C,"")</x:f>
        <x:v>Office Supplies</x:v>
      </x:c>
    </x:row>
    <x:row r="334">
      <x:c r="A334" s="15" t="str">
        <x:v>ITEM00143_2</x:v>
      </x:c>
      <x:c r="B334" s="15" t="str">
        <x:v>ORD00143</x:v>
      </x:c>
      <x:c r="C334" s="15" t="str">
        <x:v>PROD023</x:v>
      </x:c>
      <x:c r="D334" s="15" t="n">
        <x:v>1</x:v>
      </x:c>
      <x:c r="E334" s="15" t="n">
        <x:v>5153.56</x:v>
      </x:c>
      <x:c r="F334" s="15" t="n">
        <x:v>0</x:v>
      </x:c>
      <x:c r="G334" s="15" t="n">
        <x:v>5153.56</x:v>
      </x:c>
      <x:c r="H334" s="15" t="n">
        <x:v>5153.56</x:v>
      </x:c>
      <x:c r="I334" s="15" t="n">
        <x:v>3958</x:v>
      </x:c>
      <x:c r="J334" s="15" t="n">
        <x:v>1195.56</x:v>
      </x:c>
      <x:c r="K334" t="str">
        <x:f>XLOOKUP(B334,Orders!A:A,Orders!E:E,"")</x:f>
        <x:v>East</x:v>
      </x:c>
      <x:c r="L334" t="n">
        <x:f>XLOOKUP(B334,Orders!A:A,Orders!B:B,"")</x:f>
        <x:v>46011</x:v>
      </x:c>
      <x:c r="M334" t="str">
        <x:f>XLOOKUP(C334,Products!A:A,Products!C:C,"")</x:f>
        <x:v>Electronics</x:v>
      </x:c>
    </x:row>
    <x:row r="335">
      <x:c r="A335" s="15" t="str">
        <x:v>ITEM00144_1</x:v>
      </x:c>
      <x:c r="B335" s="15" t="str">
        <x:v>ORD00144</x:v>
      </x:c>
      <x:c r="C335" s="15" t="str">
        <x:v>PROD037</x:v>
      </x:c>
      <x:c r="D335" s="15" t="n">
        <x:v>4</x:v>
      </x:c>
      <x:c r="E335" s="15" t="n">
        <x:v>9876.8</x:v>
      </x:c>
      <x:c r="F335" s="15" t="n">
        <x:v>0.05</x:v>
      </x:c>
      <x:c r="G335" s="15" t="n">
        <x:v>39507.2</x:v>
      </x:c>
      <x:c r="H335" s="15" t="n">
        <x:v>37531.84</x:v>
      </x:c>
      <x:c r="I335" s="15" t="n">
        <x:v>28496</x:v>
      </x:c>
      <x:c r="J335" s="15" t="n">
        <x:v>9035.84</x:v>
      </x:c>
      <x:c r="K335" t="str">
        <x:f>XLOOKUP(B335,Orders!A:A,Orders!E:E,"")</x:f>
        <x:v>South</x:v>
      </x:c>
      <x:c r="L335" t="n">
        <x:f>XLOOKUP(B335,Orders!A:A,Orders!B:B,"")</x:f>
        <x:v>45665</x:v>
      </x:c>
      <x:c r="M335" t="str">
        <x:f>XLOOKUP(C335,Products!A:A,Products!C:C,"")</x:f>
        <x:v>Accessories</x:v>
      </x:c>
    </x:row>
    <x:row r="336">
      <x:c r="A336" s="15" t="str">
        <x:v>ITEM00144_2</x:v>
      </x:c>
      <x:c r="B336" s="15" t="str">
        <x:v>ORD00144</x:v>
      </x:c>
      <x:c r="C336" s="15" t="str">
        <x:v>PROD034</x:v>
      </x:c>
      <x:c r="D336" s="15" t="n">
        <x:v>4</x:v>
      </x:c>
      <x:c r="E336" s="15" t="n">
        <x:v>5451.76</x:v>
      </x:c>
      <x:c r="F336" s="15" t="n">
        <x:v>0.1</x:v>
      </x:c>
      <x:c r="G336" s="15" t="n">
        <x:v>21807.04</x:v>
      </x:c>
      <x:c r="H336" s="15" t="n">
        <x:v>19626.34</x:v>
      </x:c>
      <x:c r="I336" s="15" t="n">
        <x:v>15104</x:v>
      </x:c>
      <x:c r="J336" s="15" t="n">
        <x:v>4522.34</x:v>
      </x:c>
      <x:c r="K336" t="str">
        <x:f>XLOOKUP(B336,Orders!A:A,Orders!E:E,"")</x:f>
        <x:v>South</x:v>
      </x:c>
      <x:c r="L336" t="n">
        <x:f>XLOOKUP(B336,Orders!A:A,Orders!B:B,"")</x:f>
        <x:v>45665</x:v>
      </x:c>
      <x:c r="M336" t="str">
        <x:f>XLOOKUP(C336,Products!A:A,Products!C:C,"")</x:f>
        <x:v>Accessories</x:v>
      </x:c>
    </x:row>
    <x:row r="337">
      <x:c r="A337" s="15" t="str">
        <x:v>ITEM00144_3</x:v>
      </x:c>
      <x:c r="B337" s="15" t="str">
        <x:v>ORD00144</x:v>
      </x:c>
      <x:c r="C337" s="15" t="str">
        <x:v>PROD009</x:v>
      </x:c>
      <x:c r="D337" s="15" t="n">
        <x:v>1</x:v>
      </x:c>
      <x:c r="E337" s="15" t="n">
        <x:v>4722.96</x:v>
      </x:c>
      <x:c r="F337" s="15" t="n">
        <x:v>0.05</x:v>
      </x:c>
      <x:c r="G337" s="15" t="n">
        <x:v>4722.96</x:v>
      </x:c>
      <x:c r="H337" s="15" t="n">
        <x:v>4486.81</x:v>
      </x:c>
      <x:c r="I337" s="15" t="n">
        <x:v>3213</x:v>
      </x:c>
      <x:c r="J337" s="15" t="n">
        <x:v>1273.81</x:v>
      </x:c>
      <x:c r="K337" t="str">
        <x:f>XLOOKUP(B337,Orders!A:A,Orders!E:E,"")</x:f>
        <x:v>South</x:v>
      </x:c>
      <x:c r="L337" t="n">
        <x:f>XLOOKUP(B337,Orders!A:A,Orders!B:B,"")</x:f>
        <x:v>45665</x:v>
      </x:c>
      <x:c r="M337" t="str">
        <x:f>XLOOKUP(C337,Products!A:A,Products!C:C,"")</x:f>
        <x:v>Accessories</x:v>
      </x:c>
    </x:row>
    <x:row r="338">
      <x:c r="A338" s="15" t="str">
        <x:v>ITEM00144_4</x:v>
      </x:c>
      <x:c r="B338" s="15" t="str">
        <x:v>ORD00144</x:v>
      </x:c>
      <x:c r="C338" s="15" t="str">
        <x:v>PROD037</x:v>
      </x:c>
      <x:c r="D338" s="15" t="n">
        <x:v>8</x:v>
      </x:c>
      <x:c r="E338" s="15" t="n">
        <x:v>9876.8</x:v>
      </x:c>
      <x:c r="F338" s="15" t="n">
        <x:v>0</x:v>
      </x:c>
      <x:c r="G338" s="15" t="n">
        <x:v>79014.4</x:v>
      </x:c>
      <x:c r="H338" s="15" t="n">
        <x:v>79014.4</x:v>
      </x:c>
      <x:c r="I338" s="15" t="n">
        <x:v>56992</x:v>
      </x:c>
      <x:c r="J338" s="15" t="n">
        <x:v>22022.4</x:v>
      </x:c>
      <x:c r="K338" t="str">
        <x:f>XLOOKUP(B338,Orders!A:A,Orders!E:E,"")</x:f>
        <x:v>South</x:v>
      </x:c>
      <x:c r="L338" t="n">
        <x:f>XLOOKUP(B338,Orders!A:A,Orders!B:B,"")</x:f>
        <x:v>45665</x:v>
      </x:c>
      <x:c r="M338" t="str">
        <x:f>XLOOKUP(C338,Products!A:A,Products!C:C,"")</x:f>
        <x:v>Accessories</x:v>
      </x:c>
    </x:row>
    <x:row r="339">
      <x:c r="A339" s="15" t="str">
        <x:v>ITEM00145_1</x:v>
      </x:c>
      <x:c r="B339" s="15" t="str">
        <x:v>ORD00145</x:v>
      </x:c>
      <x:c r="C339" s="15" t="str">
        <x:v>PROD011</x:v>
      </x:c>
      <x:c r="D339" s="15" t="n">
        <x:v>2</x:v>
      </x:c>
      <x:c r="E339" s="15" t="n">
        <x:v>7135.27</x:v>
      </x:c>
      <x:c r="F339" s="15" t="n">
        <x:v>0</x:v>
      </x:c>
      <x:c r="G339" s="15" t="n">
        <x:v>14270.54</x:v>
      </x:c>
      <x:c r="H339" s="15" t="n">
        <x:v>14270.54</x:v>
      </x:c>
      <x:c r="I339" s="15" t="n">
        <x:v>10406</x:v>
      </x:c>
      <x:c r="J339" s="15" t="n">
        <x:v>3864.54</x:v>
      </x:c>
      <x:c r="K339" t="str">
        <x:f>XLOOKUP(B339,Orders!A:A,Orders!E:E,"")</x:f>
        <x:v>West</x:v>
      </x:c>
      <x:c r="L339" t="n">
        <x:f>XLOOKUP(B339,Orders!A:A,Orders!B:B,"")</x:f>
        <x:v>45825</x:v>
      </x:c>
      <x:c r="M339" t="str">
        <x:f>XLOOKUP(C339,Products!A:A,Products!C:C,"")</x:f>
        <x:v>Accessories</x:v>
      </x:c>
    </x:row>
    <x:row r="340">
      <x:c r="A340" s="15" t="str">
        <x:v>ITEM00146_1</x:v>
      </x:c>
      <x:c r="B340" s="15" t="str">
        <x:v>ORD00146</x:v>
      </x:c>
      <x:c r="C340" s="15" t="str">
        <x:v>PROD012</x:v>
      </x:c>
      <x:c r="D340" s="15" t="n">
        <x:v>1</x:v>
      </x:c>
      <x:c r="E340" s="15" t="n">
        <x:v>7989.38</x:v>
      </x:c>
      <x:c r="F340" s="15" t="n">
        <x:v>0</x:v>
      </x:c>
      <x:c r="G340" s="15" t="n">
        <x:v>7989.38</x:v>
      </x:c>
      <x:c r="H340" s="15" t="n">
        <x:v>7989.38</x:v>
      </x:c>
      <x:c r="I340" s="15" t="n">
        <x:v>6485</x:v>
      </x:c>
      <x:c r="J340" s="15" t="n">
        <x:v>1504.38</x:v>
      </x:c>
      <x:c r="K340" t="str">
        <x:f>XLOOKUP(B340,Orders!A:A,Orders!E:E,"")</x:f>
        <x:v>North</x:v>
      </x:c>
      <x:c r="L340" t="n">
        <x:f>XLOOKUP(B340,Orders!A:A,Orders!B:B,"")</x:f>
        <x:v>46120</x:v>
      </x:c>
      <x:c r="M340" t="str">
        <x:f>XLOOKUP(C340,Products!A:A,Products!C:C,"")</x:f>
        <x:v>Electronics</x:v>
      </x:c>
    </x:row>
    <x:row r="341">
      <x:c r="A341" s="15" t="str">
        <x:v>ITEM00146_2</x:v>
      </x:c>
      <x:c r="B341" s="15" t="str">
        <x:v>ORD00146</x:v>
      </x:c>
      <x:c r="C341" s="15" t="str">
        <x:v>PROD024</x:v>
      </x:c>
      <x:c r="D341" s="15" t="n">
        <x:v>7</x:v>
      </x:c>
      <x:c r="E341" s="15" t="n">
        <x:v>4018</x:v>
      </x:c>
      <x:c r="F341" s="15" t="n">
        <x:v>0</x:v>
      </x:c>
      <x:c r="G341" s="15" t="n">
        <x:v>28126</x:v>
      </x:c>
      <x:c r="H341" s="15" t="n">
        <x:v>28126</x:v>
      </x:c>
      <x:c r="I341" s="15" t="n">
        <x:v>22344</x:v>
      </x:c>
      <x:c r="J341" s="15" t="n">
        <x:v>5782</x:v>
      </x:c>
      <x:c r="K341" t="str">
        <x:f>XLOOKUP(B341,Orders!A:A,Orders!E:E,"")</x:f>
        <x:v>North</x:v>
      </x:c>
      <x:c r="L341" t="n">
        <x:f>XLOOKUP(B341,Orders!A:A,Orders!B:B,"")</x:f>
        <x:v>46120</x:v>
      </x:c>
      <x:c r="M341" t="str">
        <x:f>XLOOKUP(C341,Products!A:A,Products!C:C,"")</x:f>
        <x:v>Furniture</x:v>
      </x:c>
    </x:row>
    <x:row r="342">
      <x:c r="A342" s="15" t="str">
        <x:v>ITEM00146_3</x:v>
      </x:c>
      <x:c r="B342" s="15" t="str">
        <x:v>ORD00146</x:v>
      </x:c>
      <x:c r="C342" s="15" t="str">
        <x:v>PROD011</x:v>
      </x:c>
      <x:c r="D342" s="15" t="n">
        <x:v>2</x:v>
      </x:c>
      <x:c r="E342" s="15" t="n">
        <x:v>7135.27</x:v>
      </x:c>
      <x:c r="F342" s="15" t="n">
        <x:v>0</x:v>
      </x:c>
      <x:c r="G342" s="15" t="n">
        <x:v>14270.54</x:v>
      </x:c>
      <x:c r="H342" s="15" t="n">
        <x:v>14270.54</x:v>
      </x:c>
      <x:c r="I342" s="15" t="n">
        <x:v>10406</x:v>
      </x:c>
      <x:c r="J342" s="15" t="n">
        <x:v>3864.54</x:v>
      </x:c>
      <x:c r="K342" t="str">
        <x:f>XLOOKUP(B342,Orders!A:A,Orders!E:E,"")</x:f>
        <x:v>North</x:v>
      </x:c>
      <x:c r="L342" t="n">
        <x:f>XLOOKUP(B342,Orders!A:A,Orders!B:B,"")</x:f>
        <x:v>46120</x:v>
      </x:c>
      <x:c r="M342" t="str">
        <x:f>XLOOKUP(C342,Products!A:A,Products!C:C,"")</x:f>
        <x:v>Accessories</x:v>
      </x:c>
    </x:row>
    <x:row r="343">
      <x:c r="A343" s="15" t="str">
        <x:v>ITEM00146_4</x:v>
      </x:c>
      <x:c r="B343" s="15" t="str">
        <x:v>ORD00146</x:v>
      </x:c>
      <x:c r="C343" s="15" t="str">
        <x:v>PROD040</x:v>
      </x:c>
      <x:c r="D343" s="15" t="n">
        <x:v>8</x:v>
      </x:c>
      <x:c r="E343" s="15" t="n">
        <x:v>8561.07</x:v>
      </x:c>
      <x:c r="F343" s="15" t="n">
        <x:v>0</x:v>
      </x:c>
      <x:c r="G343" s="15" t="n">
        <x:v>68488.56</x:v>
      </x:c>
      <x:c r="H343" s="15" t="n">
        <x:v>68488.56</x:v>
      </x:c>
      <x:c r="I343" s="15" t="n">
        <x:v>54728</x:v>
      </x:c>
      <x:c r="J343" s="15" t="n">
        <x:v>13760.56</x:v>
      </x:c>
      <x:c r="K343" t="str">
        <x:f>XLOOKUP(B343,Orders!A:A,Orders!E:E,"")</x:f>
        <x:v>North</x:v>
      </x:c>
      <x:c r="L343" t="n">
        <x:f>XLOOKUP(B343,Orders!A:A,Orders!B:B,"")</x:f>
        <x:v>46120</x:v>
      </x:c>
      <x:c r="M343" t="str">
        <x:f>XLOOKUP(C343,Products!A:A,Products!C:C,"")</x:f>
        <x:v>Electronics</x:v>
      </x:c>
    </x:row>
    <x:row r="344">
      <x:c r="A344" s="15" t="str">
        <x:v>ITEM00147_1</x:v>
      </x:c>
      <x:c r="B344" s="15" t="str">
        <x:v>ORD00147</x:v>
      </x:c>
      <x:c r="C344" s="15" t="str">
        <x:v>PROD010</x:v>
      </x:c>
      <x:c r="D344" s="15" t="n">
        <x:v>8</x:v>
      </x:c>
      <x:c r="E344" s="15" t="n">
        <x:v>8670.63</x:v>
      </x:c>
      <x:c r="F344" s="15" t="n">
        <x:v>0</x:v>
      </x:c>
      <x:c r="G344" s="15" t="n">
        <x:v>69365.04</x:v>
      </x:c>
      <x:c r="H344" s="15" t="n">
        <x:v>69365.04</x:v>
      </x:c>
      <x:c r="I344" s="15" t="n">
        <x:v>46824</x:v>
      </x:c>
      <x:c r="J344" s="15" t="n">
        <x:v>22541.04</x:v>
      </x:c>
      <x:c r="K344" t="str">
        <x:f>XLOOKUP(B344,Orders!A:A,Orders!E:E,"")</x:f>
        <x:v>North</x:v>
      </x:c>
      <x:c r="L344" t="n">
        <x:f>XLOOKUP(B344,Orders!A:A,Orders!B:B,"")</x:f>
        <x:v>46103</x:v>
      </x:c>
      <x:c r="M344" t="str">
        <x:f>XLOOKUP(C344,Products!A:A,Products!C:C,"")</x:f>
        <x:v>Accessories</x:v>
      </x:c>
    </x:row>
    <x:row r="345">
      <x:c r="A345" s="15" t="str">
        <x:v>ITEM00148_1</x:v>
      </x:c>
      <x:c r="B345" s="15" t="str">
        <x:v>ORD00148</x:v>
      </x:c>
      <x:c r="C345" s="15" t="str">
        <x:v>PROD034</x:v>
      </x:c>
      <x:c r="D345" s="15" t="n">
        <x:v>6</x:v>
      </x:c>
      <x:c r="E345" s="15" t="n">
        <x:v>5451.76</x:v>
      </x:c>
      <x:c r="F345" s="15" t="n">
        <x:v>0.05</x:v>
      </x:c>
      <x:c r="G345" s="15" t="n">
        <x:v>32710.56</x:v>
      </x:c>
      <x:c r="H345" s="15" t="n">
        <x:v>31075.03</x:v>
      </x:c>
      <x:c r="I345" s="15" t="n">
        <x:v>22656</x:v>
      </x:c>
      <x:c r="J345" s="15" t="n">
        <x:v>8419.03</x:v>
      </x:c>
      <x:c r="K345" t="str">
        <x:f>XLOOKUP(B345,Orders!A:A,Orders!E:E,"")</x:f>
        <x:v>West</x:v>
      </x:c>
      <x:c r="L345" t="n">
        <x:f>XLOOKUP(B345,Orders!A:A,Orders!B:B,"")</x:f>
        <x:v>45718</x:v>
      </x:c>
      <x:c r="M345" t="str">
        <x:f>XLOOKUP(C345,Products!A:A,Products!C:C,"")</x:f>
        <x:v>Accessories</x:v>
      </x:c>
    </x:row>
    <x:row r="346">
      <x:c r="A346" s="15" t="str">
        <x:v>ITEM00148_2</x:v>
      </x:c>
      <x:c r="B346" s="15" t="str">
        <x:v>ORD00148</x:v>
      </x:c>
      <x:c r="C346" s="15" t="str">
        <x:v>PROD033</x:v>
      </x:c>
      <x:c r="D346" s="15" t="n">
        <x:v>7</x:v>
      </x:c>
      <x:c r="E346" s="15" t="n">
        <x:v>3912.41</x:v>
      </x:c>
      <x:c r="F346" s="15" t="n">
        <x:v>0.1</x:v>
      </x:c>
      <x:c r="G346" s="15" t="n">
        <x:v>27386.87</x:v>
      </x:c>
      <x:c r="H346" s="15" t="n">
        <x:v>24648.18</x:v>
      </x:c>
      <x:c r="I346" s="15" t="n">
        <x:v>20937</x:v>
      </x:c>
      <x:c r="J346" s="15" t="n">
        <x:v>3711.18</x:v>
      </x:c>
      <x:c r="K346" t="str">
        <x:f>XLOOKUP(B346,Orders!A:A,Orders!E:E,"")</x:f>
        <x:v>West</x:v>
      </x:c>
      <x:c r="L346" t="n">
        <x:f>XLOOKUP(B346,Orders!A:A,Orders!B:B,"")</x:f>
        <x:v>45718</x:v>
      </x:c>
      <x:c r="M346" t="str">
        <x:f>XLOOKUP(C346,Products!A:A,Products!C:C,"")</x:f>
        <x:v>Furniture</x:v>
      </x:c>
    </x:row>
    <x:row r="347">
      <x:c r="A347" s="15" t="str">
        <x:v>ITEM00149_1</x:v>
      </x:c>
      <x:c r="B347" s="15" t="str">
        <x:v>ORD00149</x:v>
      </x:c>
      <x:c r="C347" s="15" t="str">
        <x:v>PROD035</x:v>
      </x:c>
      <x:c r="D347" s="15" t="n">
        <x:v>2</x:v>
      </x:c>
      <x:c r="E347" s="15" t="n">
        <x:v>3972.26</x:v>
      </x:c>
      <x:c r="F347" s="15" t="n">
        <x:v>0</x:v>
      </x:c>
      <x:c r="G347" s="15" t="n">
        <x:v>7944.52</x:v>
      </x:c>
      <x:c r="H347" s="15" t="n">
        <x:v>7944.52</x:v>
      </x:c>
      <x:c r="I347" s="15" t="n">
        <x:v>6374</x:v>
      </x:c>
      <x:c r="J347" s="15" t="n">
        <x:v>1570.52</x:v>
      </x:c>
      <x:c r="K347" t="str">
        <x:f>XLOOKUP(B347,Orders!A:A,Orders!E:E,"")</x:f>
        <x:v>North</x:v>
      </x:c>
      <x:c r="L347" t="n">
        <x:f>XLOOKUP(B347,Orders!A:A,Orders!B:B,"")</x:f>
        <x:v>45772</x:v>
      </x:c>
      <x:c r="M347" t="str">
        <x:f>XLOOKUP(C347,Products!A:A,Products!C:C,"")</x:f>
        <x:v>Electronics</x:v>
      </x:c>
    </x:row>
    <x:row r="348">
      <x:c r="A348" s="15" t="str">
        <x:v>ITEM00149_2</x:v>
      </x:c>
      <x:c r="B348" s="15" t="str">
        <x:v>ORD00149</x:v>
      </x:c>
      <x:c r="C348" s="15" t="str">
        <x:v>PROD035</x:v>
      </x:c>
      <x:c r="D348" s="15" t="n">
        <x:v>7</x:v>
      </x:c>
      <x:c r="E348" s="15" t="n">
        <x:v>3972.26</x:v>
      </x:c>
      <x:c r="F348" s="15" t="n">
        <x:v>0.05</x:v>
      </x:c>
      <x:c r="G348" s="15" t="n">
        <x:v>27805.82</x:v>
      </x:c>
      <x:c r="H348" s="15" t="n">
        <x:v>26415.53</x:v>
      </x:c>
      <x:c r="I348" s="15" t="n">
        <x:v>22309</x:v>
      </x:c>
      <x:c r="J348" s="15" t="n">
        <x:v>4106.53</x:v>
      </x:c>
      <x:c r="K348" t="str">
        <x:f>XLOOKUP(B348,Orders!A:A,Orders!E:E,"")</x:f>
        <x:v>North</x:v>
      </x:c>
      <x:c r="L348" t="n">
        <x:f>XLOOKUP(B348,Orders!A:A,Orders!B:B,"")</x:f>
        <x:v>45772</x:v>
      </x:c>
      <x:c r="M348" t="str">
        <x:f>XLOOKUP(C348,Products!A:A,Products!C:C,"")</x:f>
        <x:v>Electronics</x:v>
      </x:c>
    </x:row>
    <x:row r="349">
      <x:c r="A349" s="15" t="str">
        <x:v>ITEM00149_3</x:v>
      </x:c>
      <x:c r="B349" s="15" t="str">
        <x:v>ORD00149</x:v>
      </x:c>
      <x:c r="C349" s="15" t="str">
        <x:v>PROD033</x:v>
      </x:c>
      <x:c r="D349" s="15" t="n">
        <x:v>1</x:v>
      </x:c>
      <x:c r="E349" s="15" t="n">
        <x:v>3912.41</x:v>
      </x:c>
      <x:c r="F349" s="15" t="n">
        <x:v>0.1</x:v>
      </x:c>
      <x:c r="G349" s="15" t="n">
        <x:v>3912.41</x:v>
      </x:c>
      <x:c r="H349" s="15" t="n">
        <x:v>3521.17</x:v>
      </x:c>
      <x:c r="I349" s="15" t="n">
        <x:v>2991</x:v>
      </x:c>
      <x:c r="J349" s="15" t="n">
        <x:v>530.17</x:v>
      </x:c>
      <x:c r="K349" t="str">
        <x:f>XLOOKUP(B349,Orders!A:A,Orders!E:E,"")</x:f>
        <x:v>North</x:v>
      </x:c>
      <x:c r="L349" t="n">
        <x:f>XLOOKUP(B349,Orders!A:A,Orders!B:B,"")</x:f>
        <x:v>45772</x:v>
      </x:c>
      <x:c r="M349" t="str">
        <x:f>XLOOKUP(C349,Products!A:A,Products!C:C,"")</x:f>
        <x:v>Furniture</x:v>
      </x:c>
    </x:row>
    <x:row r="350">
      <x:c r="A350" s="15" t="str">
        <x:v>ITEM00150_1</x:v>
      </x:c>
      <x:c r="B350" s="15" t="str">
        <x:v>ORD00150</x:v>
      </x:c>
      <x:c r="C350" s="15" t="str">
        <x:v>PROD012</x:v>
      </x:c>
      <x:c r="D350" s="15" t="n">
        <x:v>1</x:v>
      </x:c>
      <x:c r="E350" s="15" t="n">
        <x:v>7989.38</x:v>
      </x:c>
      <x:c r="F350" s="15" t="n">
        <x:v>0.05</x:v>
      </x:c>
      <x:c r="G350" s="15" t="n">
        <x:v>7989.38</x:v>
      </x:c>
      <x:c r="H350" s="15" t="n">
        <x:v>7589.91</x:v>
      </x:c>
      <x:c r="I350" s="15" t="n">
        <x:v>6485</x:v>
      </x:c>
      <x:c r="J350" s="15" t="n">
        <x:v>1104.91</x:v>
      </x:c>
      <x:c r="K350" t="str">
        <x:f>XLOOKUP(B350,Orders!A:A,Orders!E:E,"")</x:f>
        <x:v>West</x:v>
      </x:c>
      <x:c r="L350" t="n">
        <x:f>XLOOKUP(B350,Orders!A:A,Orders!B:B,"")</x:f>
        <x:v>45724</x:v>
      </x:c>
      <x:c r="M350" t="str">
        <x:f>XLOOKUP(C350,Products!A:A,Products!C:C,"")</x:f>
        <x:v>Electronics</x:v>
      </x:c>
    </x:row>
    <x:row r="351">
      <x:c r="A351" s="15" t="str">
        <x:v>ITEM00150_2</x:v>
      </x:c>
      <x:c r="B351" s="15" t="str">
        <x:v>ORD00150</x:v>
      </x:c>
      <x:c r="C351" s="15" t="str">
        <x:v>PROD017</x:v>
      </x:c>
      <x:c r="D351" s="15" t="n">
        <x:v>3</x:v>
      </x:c>
      <x:c r="E351" s="15" t="n">
        <x:v>7311.62</x:v>
      </x:c>
      <x:c r="F351" s="15" t="n">
        <x:v>0.05</x:v>
      </x:c>
      <x:c r="G351" s="15" t="n">
        <x:v>21934.86</x:v>
      </x:c>
      <x:c r="H351" s="15" t="n">
        <x:v>20838.12</x:v>
      </x:c>
      <x:c r="I351" s="15" t="n">
        <x:v>15774</x:v>
      </x:c>
      <x:c r="J351" s="15" t="n">
        <x:v>5064.12</x:v>
      </x:c>
      <x:c r="K351" t="str">
        <x:f>XLOOKUP(B351,Orders!A:A,Orders!E:E,"")</x:f>
        <x:v>West</x:v>
      </x:c>
      <x:c r="L351" t="n">
        <x:f>XLOOKUP(B351,Orders!A:A,Orders!B:B,"")</x:f>
        <x:v>45724</x:v>
      </x:c>
      <x:c r="M351" t="str">
        <x:f>XLOOKUP(C351,Products!A:A,Products!C:C,"")</x:f>
        <x:v>Accessories</x:v>
      </x:c>
    </x:row>
    <x:row r="352">
      <x:c r="A352" s="15" t="str">
        <x:v>ITEM00150_3</x:v>
      </x:c>
      <x:c r="B352" s="15" t="str">
        <x:v>ORD00150</x:v>
      </x:c>
      <x:c r="C352" s="15" t="str">
        <x:v>PROD013</x:v>
      </x:c>
      <x:c r="D352" s="15" t="n">
        <x:v>6</x:v>
      </x:c>
      <x:c r="E352" s="15" t="n">
        <x:v>7614.02</x:v>
      </x:c>
      <x:c r="F352" s="15" t="n">
        <x:v>0</x:v>
      </x:c>
      <x:c r="G352" s="15" t="n">
        <x:v>45684.12</x:v>
      </x:c>
      <x:c r="H352" s="15" t="n">
        <x:v>45684.12</x:v>
      </x:c>
      <x:c r="I352" s="15" t="n">
        <x:v>36462</x:v>
      </x:c>
      <x:c r="J352" s="15" t="n">
        <x:v>9222.12</x:v>
      </x:c>
      <x:c r="K352" t="str">
        <x:f>XLOOKUP(B352,Orders!A:A,Orders!E:E,"")</x:f>
        <x:v>West</x:v>
      </x:c>
      <x:c r="L352" t="n">
        <x:f>XLOOKUP(B352,Orders!A:A,Orders!B:B,"")</x:f>
        <x:v>45724</x:v>
      </x:c>
      <x:c r="M352" t="str">
        <x:f>XLOOKUP(C352,Products!A:A,Products!C:C,"")</x:f>
        <x:v>Furniture</x:v>
      </x:c>
    </x:row>
    <x:row r="353">
      <x:c r="A353" s="15" t="str">
        <x:v>ITEM00151_1</x:v>
      </x:c>
      <x:c r="B353" s="15" t="str">
        <x:v>ORD00151</x:v>
      </x:c>
      <x:c r="C353" s="15" t="str">
        <x:v>PROD035</x:v>
      </x:c>
      <x:c r="D353" s="15" t="n">
        <x:v>3</x:v>
      </x:c>
      <x:c r="E353" s="15" t="n">
        <x:v>3972.26</x:v>
      </x:c>
      <x:c r="F353" s="15" t="n">
        <x:v>0.05</x:v>
      </x:c>
      <x:c r="G353" s="15" t="n">
        <x:v>11916.78</x:v>
      </x:c>
      <x:c r="H353" s="15" t="n">
        <x:v>11320.94</x:v>
      </x:c>
      <x:c r="I353" s="15" t="n">
        <x:v>9561</x:v>
      </x:c>
      <x:c r="J353" s="15" t="n">
        <x:v>1759.94</x:v>
      </x:c>
      <x:c r="K353" t="str">
        <x:f>XLOOKUP(B353,Orders!A:A,Orders!E:E,"")</x:f>
        <x:v>East</x:v>
      </x:c>
      <x:c r="L353" t="n">
        <x:f>XLOOKUP(B353,Orders!A:A,Orders!B:B,"")</x:f>
        <x:v>45744</x:v>
      </x:c>
      <x:c r="M353" t="str">
        <x:f>XLOOKUP(C353,Products!A:A,Products!C:C,"")</x:f>
        <x:v>Electronics</x:v>
      </x:c>
    </x:row>
    <x:row r="354">
      <x:c r="A354" s="15" t="str">
        <x:v>ITEM00152_1</x:v>
      </x:c>
      <x:c r="B354" s="15" t="str">
        <x:v>ORD00152</x:v>
      </x:c>
      <x:c r="C354" s="15" t="str">
        <x:v>PROD009</x:v>
      </x:c>
      <x:c r="D354" s="15" t="n">
        <x:v>8</x:v>
      </x:c>
      <x:c r="E354" s="15" t="n">
        <x:v>4722.96</x:v>
      </x:c>
      <x:c r="F354" s="15" t="n">
        <x:v>0.05</x:v>
      </x:c>
      <x:c r="G354" s="15" t="n">
        <x:v>37783.68</x:v>
      </x:c>
      <x:c r="H354" s="15" t="n">
        <x:v>35894.5</x:v>
      </x:c>
      <x:c r="I354" s="15" t="n">
        <x:v>25704</x:v>
      </x:c>
      <x:c r="J354" s="15" t="n">
        <x:v>10190.5</x:v>
      </x:c>
      <x:c r="K354" t="str">
        <x:f>XLOOKUP(B354,Orders!A:A,Orders!E:E,"")</x:f>
        <x:v>South</x:v>
      </x:c>
      <x:c r="L354" t="n">
        <x:f>XLOOKUP(B354,Orders!A:A,Orders!B:B,"")</x:f>
        <x:v>45888</x:v>
      </x:c>
      <x:c r="M354" t="str">
        <x:f>XLOOKUP(C354,Products!A:A,Products!C:C,"")</x:f>
        <x:v>Accessories</x:v>
      </x:c>
    </x:row>
    <x:row r="355">
      <x:c r="A355" s="15" t="str">
        <x:v>ITEM00152_2</x:v>
      </x:c>
      <x:c r="B355" s="15" t="str">
        <x:v>ORD00152</x:v>
      </x:c>
      <x:c r="C355" s="15" t="str">
        <x:v>PROD038</x:v>
      </x:c>
      <x:c r="D355" s="15" t="n">
        <x:v>3</x:v>
      </x:c>
      <x:c r="E355" s="15" t="n">
        <x:v>5219.7</x:v>
      </x:c>
      <x:c r="F355" s="15" t="n">
        <x:v>0.05</x:v>
      </x:c>
      <x:c r="G355" s="15" t="n">
        <x:v>15659.1</x:v>
      </x:c>
      <x:c r="H355" s="15" t="n">
        <x:v>14876.15</x:v>
      </x:c>
      <x:c r="I355" s="15" t="n">
        <x:v>11808</x:v>
      </x:c>
      <x:c r="J355" s="15" t="n">
        <x:v>3068.15</x:v>
      </x:c>
      <x:c r="K355" t="str">
        <x:f>XLOOKUP(B355,Orders!A:A,Orders!E:E,"")</x:f>
        <x:v>South</x:v>
      </x:c>
      <x:c r="L355" t="n">
        <x:f>XLOOKUP(B355,Orders!A:A,Orders!B:B,"")</x:f>
        <x:v>45888</x:v>
      </x:c>
      <x:c r="M355" t="str">
        <x:f>XLOOKUP(C355,Products!A:A,Products!C:C,"")</x:f>
        <x:v>Office Supplies</x:v>
      </x:c>
    </x:row>
    <x:row r="356">
      <x:c r="A356" s="15" t="str">
        <x:v>ITEM00152_3</x:v>
      </x:c>
      <x:c r="B356" s="15" t="str">
        <x:v>ORD00152</x:v>
      </x:c>
      <x:c r="C356" s="15" t="str">
        <x:v>PROD009</x:v>
      </x:c>
      <x:c r="D356" s="15" t="n">
        <x:v>1</x:v>
      </x:c>
      <x:c r="E356" s="15" t="n">
        <x:v>4722.96</x:v>
      </x:c>
      <x:c r="F356" s="15" t="n">
        <x:v>0</x:v>
      </x:c>
      <x:c r="G356" s="15" t="n">
        <x:v>4722.96</x:v>
      </x:c>
      <x:c r="H356" s="15" t="n">
        <x:v>4722.96</x:v>
      </x:c>
      <x:c r="I356" s="15" t="n">
        <x:v>3213</x:v>
      </x:c>
      <x:c r="J356" s="15" t="n">
        <x:v>1509.96</x:v>
      </x:c>
      <x:c r="K356" t="str">
        <x:f>XLOOKUP(B356,Orders!A:A,Orders!E:E,"")</x:f>
        <x:v>South</x:v>
      </x:c>
      <x:c r="L356" t="n">
        <x:f>XLOOKUP(B356,Orders!A:A,Orders!B:B,"")</x:f>
        <x:v>45888</x:v>
      </x:c>
      <x:c r="M356" t="str">
        <x:f>XLOOKUP(C356,Products!A:A,Products!C:C,"")</x:f>
        <x:v>Accessories</x:v>
      </x:c>
    </x:row>
    <x:row r="357">
      <x:c r="A357" s="15" t="str">
        <x:v>ITEM00153_1</x:v>
      </x:c>
      <x:c r="B357" s="15" t="str">
        <x:v>ORD00153</x:v>
      </x:c>
      <x:c r="C357" s="15" t="str">
        <x:v>PROD016</x:v>
      </x:c>
      <x:c r="D357" s="15" t="n">
        <x:v>7</x:v>
      </x:c>
      <x:c r="E357" s="15" t="n">
        <x:v>3884.33</x:v>
      </x:c>
      <x:c r="F357" s="15" t="n">
        <x:v>0.15</x:v>
      </x:c>
      <x:c r="G357" s="15" t="n">
        <x:v>27190.31</x:v>
      </x:c>
      <x:c r="H357" s="15" t="n">
        <x:v>23111.76</x:v>
      </x:c>
      <x:c r="I357" s="15" t="n">
        <x:v>21329</x:v>
      </x:c>
      <x:c r="J357" s="15" t="n">
        <x:v>1782.76</x:v>
      </x:c>
      <x:c r="K357" t="str">
        <x:f>XLOOKUP(B357,Orders!A:A,Orders!E:E,"")</x:f>
        <x:v>West</x:v>
      </x:c>
      <x:c r="L357" t="n">
        <x:f>XLOOKUP(B357,Orders!A:A,Orders!B:B,"")</x:f>
        <x:v>45828</x:v>
      </x:c>
      <x:c r="M357" t="str">
        <x:f>XLOOKUP(C357,Products!A:A,Products!C:C,"")</x:f>
        <x:v>Electronics</x:v>
      </x:c>
    </x:row>
    <x:row r="358">
      <x:c r="A358" s="15" t="str">
        <x:v>ITEM00153_2</x:v>
      </x:c>
      <x:c r="B358" s="15" t="str">
        <x:v>ORD00153</x:v>
      </x:c>
      <x:c r="C358" s="15" t="str">
        <x:v>PROD027</x:v>
      </x:c>
      <x:c r="D358" s="15" t="n">
        <x:v>5</x:v>
      </x:c>
      <x:c r="E358" s="15" t="n">
        <x:v>6979.71</x:v>
      </x:c>
      <x:c r="F358" s="15" t="n">
        <x:v>0.15</x:v>
      </x:c>
      <x:c r="G358" s="15" t="n">
        <x:v>34898.55</x:v>
      </x:c>
      <x:c r="H358" s="15" t="n">
        <x:v>29663.77</x:v>
      </x:c>
      <x:c r="I358" s="15" t="n">
        <x:v>28185</x:v>
      </x:c>
      <x:c r="J358" s="15" t="n">
        <x:v>1478.77</x:v>
      </x:c>
      <x:c r="K358" t="str">
        <x:f>XLOOKUP(B358,Orders!A:A,Orders!E:E,"")</x:f>
        <x:v>West</x:v>
      </x:c>
      <x:c r="L358" t="n">
        <x:f>XLOOKUP(B358,Orders!A:A,Orders!B:B,"")</x:f>
        <x:v>45828</x:v>
      </x:c>
      <x:c r="M358" t="str">
        <x:f>XLOOKUP(C358,Products!A:A,Products!C:C,"")</x:f>
        <x:v>Electronics</x:v>
      </x:c>
    </x:row>
    <x:row r="359">
      <x:c r="A359" s="15" t="str">
        <x:v>ITEM00154_1</x:v>
      </x:c>
      <x:c r="B359" s="15" t="str">
        <x:v>ORD00154</x:v>
      </x:c>
      <x:c r="C359" s="15" t="str">
        <x:v>PROD014</x:v>
      </x:c>
      <x:c r="D359" s="15" t="n">
        <x:v>6</x:v>
      </x:c>
      <x:c r="E359" s="15" t="n">
        <x:v>1611.65</x:v>
      </x:c>
      <x:c r="F359" s="15" t="n">
        <x:v>0.05</x:v>
      </x:c>
      <x:c r="G359" s="15" t="n">
        <x:v>9669.9</x:v>
      </x:c>
      <x:c r="H359" s="15" t="n">
        <x:v>9186.4</x:v>
      </x:c>
      <x:c r="I359" s="15" t="n">
        <x:v>7398</x:v>
      </x:c>
      <x:c r="J359" s="15" t="n">
        <x:v>1788.4</x:v>
      </x:c>
      <x:c r="K359" t="str">
        <x:f>XLOOKUP(B359,Orders!A:A,Orders!E:E,"")</x:f>
        <x:v>East</x:v>
      </x:c>
      <x:c r="L359" t="n">
        <x:f>XLOOKUP(B359,Orders!A:A,Orders!B:B,"")</x:f>
        <x:v>45744</x:v>
      </x:c>
      <x:c r="M359" t="str">
        <x:f>XLOOKUP(C359,Products!A:A,Products!C:C,"")</x:f>
        <x:v>Office Supplies</x:v>
      </x:c>
    </x:row>
    <x:row r="360">
      <x:c r="A360" s="15" t="str">
        <x:v>ITEM00154_2</x:v>
      </x:c>
      <x:c r="B360" s="15" t="str">
        <x:v>ORD00154</x:v>
      </x:c>
      <x:c r="C360" s="15" t="str">
        <x:v>PROD004</x:v>
      </x:c>
      <x:c r="D360" s="15" t="n">
        <x:v>1</x:v>
      </x:c>
      <x:c r="E360" s="15" t="n">
        <x:v>5435.39</x:v>
      </x:c>
      <x:c r="F360" s="15" t="n">
        <x:v>0</x:v>
      </x:c>
      <x:c r="G360" s="15" t="n">
        <x:v>5435.39</x:v>
      </x:c>
      <x:c r="H360" s="15" t="n">
        <x:v>5435.39</x:v>
      </x:c>
      <x:c r="I360" s="15" t="n">
        <x:v>4141</x:v>
      </x:c>
      <x:c r="J360" s="15" t="n">
        <x:v>1294.39</x:v>
      </x:c>
      <x:c r="K360" t="str">
        <x:f>XLOOKUP(B360,Orders!A:A,Orders!E:E,"")</x:f>
        <x:v>East</x:v>
      </x:c>
      <x:c r="L360" t="n">
        <x:f>XLOOKUP(B360,Orders!A:A,Orders!B:B,"")</x:f>
        <x:v>45744</x:v>
      </x:c>
      <x:c r="M360" t="str">
        <x:f>XLOOKUP(C360,Products!A:A,Products!C:C,"")</x:f>
        <x:v>Office Supplies</x:v>
      </x:c>
    </x:row>
    <x:row r="361">
      <x:c r="A361" s="15" t="str">
        <x:v>ITEM00154_3</x:v>
      </x:c>
      <x:c r="B361" s="15" t="str">
        <x:v>ORD00154</x:v>
      </x:c>
      <x:c r="C361" s="15" t="str">
        <x:v>PROD039</x:v>
      </x:c>
      <x:c r="D361" s="15" t="n">
        <x:v>7</x:v>
      </x:c>
      <x:c r="E361" s="15" t="n">
        <x:v>5945.62</x:v>
      </x:c>
      <x:c r="F361" s="15" t="n">
        <x:v>0.15</x:v>
      </x:c>
      <x:c r="G361" s="15" t="n">
        <x:v>41619.34</x:v>
      </x:c>
      <x:c r="H361" s="15" t="n">
        <x:v>35376.44</x:v>
      </x:c>
      <x:c r="I361" s="15" t="n">
        <x:v>32011</x:v>
      </x:c>
      <x:c r="J361" s="15" t="n">
        <x:v>3365.44</x:v>
      </x:c>
      <x:c r="K361" t="str">
        <x:f>XLOOKUP(B361,Orders!A:A,Orders!E:E,"")</x:f>
        <x:v>East</x:v>
      </x:c>
      <x:c r="L361" t="n">
        <x:f>XLOOKUP(B361,Orders!A:A,Orders!B:B,"")</x:f>
        <x:v>45744</x:v>
      </x:c>
      <x:c r="M361" t="str">
        <x:f>XLOOKUP(C361,Products!A:A,Products!C:C,"")</x:f>
        <x:v>Office Supplies</x:v>
      </x:c>
    </x:row>
    <x:row r="362">
      <x:c r="A362" s="15" t="str">
        <x:v>ITEM00155_1</x:v>
      </x:c>
      <x:c r="B362" s="15" t="str">
        <x:v>ORD00155</x:v>
      </x:c>
      <x:c r="C362" s="15" t="str">
        <x:v>PROD028</x:v>
      </x:c>
      <x:c r="D362" s="15" t="n">
        <x:v>6</x:v>
      </x:c>
      <x:c r="E362" s="15" t="n">
        <x:v>4640.74</x:v>
      </x:c>
      <x:c r="F362" s="15" t="n">
        <x:v>0.05</x:v>
      </x:c>
      <x:c r="G362" s="15" t="n">
        <x:v>27844.44</x:v>
      </x:c>
      <x:c r="H362" s="15" t="n">
        <x:v>26452.22</x:v>
      </x:c>
      <x:c r="I362" s="15" t="n">
        <x:v>21204</x:v>
      </x:c>
      <x:c r="J362" s="15" t="n">
        <x:v>5248.22</x:v>
      </x:c>
      <x:c r="K362" t="str">
        <x:f>XLOOKUP(B362,Orders!A:A,Orders!E:E,"")</x:f>
        <x:v>East</x:v>
      </x:c>
      <x:c r="L362" t="n">
        <x:f>XLOOKUP(B362,Orders!A:A,Orders!B:B,"")</x:f>
        <x:v>46060</x:v>
      </x:c>
      <x:c r="M362" t="str">
        <x:f>XLOOKUP(C362,Products!A:A,Products!C:C,"")</x:f>
        <x:v>Office Supplies</x:v>
      </x:c>
    </x:row>
    <x:row r="363">
      <x:c r="A363" s="15" t="str">
        <x:v>ITEM00156_1</x:v>
      </x:c>
      <x:c r="B363" s="15" t="str">
        <x:v>ORD00156</x:v>
      </x:c>
      <x:c r="C363" s="15" t="str">
        <x:v>PROD038</x:v>
      </x:c>
      <x:c r="D363" s="15" t="n">
        <x:v>1</x:v>
      </x:c>
      <x:c r="E363" s="15" t="n">
        <x:v>5219.7</x:v>
      </x:c>
      <x:c r="F363" s="15" t="n">
        <x:v>0</x:v>
      </x:c>
      <x:c r="G363" s="15" t="n">
        <x:v>5219.7</x:v>
      </x:c>
      <x:c r="H363" s="15" t="n">
        <x:v>5219.7</x:v>
      </x:c>
      <x:c r="I363" s="15" t="n">
        <x:v>3936</x:v>
      </x:c>
      <x:c r="J363" s="15" t="n">
        <x:v>1283.7</x:v>
      </x:c>
      <x:c r="K363" t="str">
        <x:f>XLOOKUP(B363,Orders!A:A,Orders!E:E,"")</x:f>
        <x:v>North</x:v>
      </x:c>
      <x:c r="L363" t="n">
        <x:f>XLOOKUP(B363,Orders!A:A,Orders!B:B,"")</x:f>
        <x:v>46137</x:v>
      </x:c>
      <x:c r="M363" t="str">
        <x:f>XLOOKUP(C363,Products!A:A,Products!C:C,"")</x:f>
        <x:v>Office Supplies</x:v>
      </x:c>
    </x:row>
    <x:row r="364">
      <x:c r="A364" s="15" t="str">
        <x:v>ITEM00157_1</x:v>
      </x:c>
      <x:c r="B364" s="15" t="str">
        <x:v>ORD00157</x:v>
      </x:c>
      <x:c r="C364" s="15" t="str">
        <x:v>PROD039</x:v>
      </x:c>
      <x:c r="D364" s="15" t="n">
        <x:v>8</x:v>
      </x:c>
      <x:c r="E364" s="15" t="n">
        <x:v>5945.62</x:v>
      </x:c>
      <x:c r="F364" s="15" t="n">
        <x:v>0.1</x:v>
      </x:c>
      <x:c r="G364" s="15" t="n">
        <x:v>47564.96</x:v>
      </x:c>
      <x:c r="H364" s="15" t="n">
        <x:v>42808.46</x:v>
      </x:c>
      <x:c r="I364" s="15" t="n">
        <x:v>36584</x:v>
      </x:c>
      <x:c r="J364" s="15" t="n">
        <x:v>6224.46</x:v>
      </x:c>
      <x:c r="K364" t="str">
        <x:f>XLOOKUP(B364,Orders!A:A,Orders!E:E,"")</x:f>
        <x:v>East</x:v>
      </x:c>
      <x:c r="L364" t="n">
        <x:f>XLOOKUP(B364,Orders!A:A,Orders!B:B,"")</x:f>
        <x:v>46005</x:v>
      </x:c>
      <x:c r="M364" t="str">
        <x:f>XLOOKUP(C364,Products!A:A,Products!C:C,"")</x:f>
        <x:v>Office Supplies</x:v>
      </x:c>
    </x:row>
    <x:row r="365">
      <x:c r="A365" s="15" t="str">
        <x:v>ITEM00157_2</x:v>
      </x:c>
      <x:c r="B365" s="15" t="str">
        <x:v>ORD00157</x:v>
      </x:c>
      <x:c r="C365" s="15" t="str">
        <x:v>PROD030</x:v>
      </x:c>
      <x:c r="D365" s="15" t="n">
        <x:v>3</x:v>
      </x:c>
      <x:c r="E365" s="15" t="n">
        <x:v>5180.7</x:v>
      </x:c>
      <x:c r="F365" s="15" t="n">
        <x:v>0.15</x:v>
      </x:c>
      <x:c r="G365" s="15" t="n">
        <x:v>15542.1</x:v>
      </x:c>
      <x:c r="H365" s="15" t="n">
        <x:v>13210.78</x:v>
      </x:c>
      <x:c r="I365" s="15" t="n">
        <x:v>11664</x:v>
      </x:c>
      <x:c r="J365" s="15" t="n">
        <x:v>1546.78</x:v>
      </x:c>
      <x:c r="K365" t="str">
        <x:f>XLOOKUP(B365,Orders!A:A,Orders!E:E,"")</x:f>
        <x:v>East</x:v>
      </x:c>
      <x:c r="L365" t="n">
        <x:f>XLOOKUP(B365,Orders!A:A,Orders!B:B,"")</x:f>
        <x:v>46005</x:v>
      </x:c>
      <x:c r="M365" t="str">
        <x:f>XLOOKUP(C365,Products!A:A,Products!C:C,"")</x:f>
        <x:v>Office Supplies</x:v>
      </x:c>
    </x:row>
    <x:row r="366">
      <x:c r="A366" s="15" t="str">
        <x:v>ITEM00157_3</x:v>
      </x:c>
      <x:c r="B366" s="15" t="str">
        <x:v>ORD00157</x:v>
      </x:c>
      <x:c r="C366" s="15" t="str">
        <x:v>PROD004</x:v>
      </x:c>
      <x:c r="D366" s="15" t="n">
        <x:v>1</x:v>
      </x:c>
      <x:c r="E366" s="15" t="n">
        <x:v>5435.39</x:v>
      </x:c>
      <x:c r="F366" s="15" t="n">
        <x:v>0</x:v>
      </x:c>
      <x:c r="G366" s="15" t="n">
        <x:v>5435.39</x:v>
      </x:c>
      <x:c r="H366" s="15" t="n">
        <x:v>5435.39</x:v>
      </x:c>
      <x:c r="I366" s="15" t="n">
        <x:v>4141</x:v>
      </x:c>
      <x:c r="J366" s="15" t="n">
        <x:v>1294.39</x:v>
      </x:c>
      <x:c r="K366" t="str">
        <x:f>XLOOKUP(B366,Orders!A:A,Orders!E:E,"")</x:f>
        <x:v>East</x:v>
      </x:c>
      <x:c r="L366" t="n">
        <x:f>XLOOKUP(B366,Orders!A:A,Orders!B:B,"")</x:f>
        <x:v>46005</x:v>
      </x:c>
      <x:c r="M366" t="str">
        <x:f>XLOOKUP(C366,Products!A:A,Products!C:C,"")</x:f>
        <x:v>Office Supplies</x:v>
      </x:c>
    </x:row>
    <x:row r="367">
      <x:c r="A367" s="15" t="str">
        <x:v>ITEM00157_4</x:v>
      </x:c>
      <x:c r="B367" s="15" t="str">
        <x:v>ORD00157</x:v>
      </x:c>
      <x:c r="C367" s="15" t="str">
        <x:v>PROD038</x:v>
      </x:c>
      <x:c r="D367" s="15" t="n">
        <x:v>3</x:v>
      </x:c>
      <x:c r="E367" s="15" t="n">
        <x:v>5219.7</x:v>
      </x:c>
      <x:c r="F367" s="15" t="n">
        <x:v>0</x:v>
      </x:c>
      <x:c r="G367" s="15" t="n">
        <x:v>15659.1</x:v>
      </x:c>
      <x:c r="H367" s="15" t="n">
        <x:v>15659.1</x:v>
      </x:c>
      <x:c r="I367" s="15" t="n">
        <x:v>11808</x:v>
      </x:c>
      <x:c r="J367" s="15" t="n">
        <x:v>3851.1</x:v>
      </x:c>
      <x:c r="K367" t="str">
        <x:f>XLOOKUP(B367,Orders!A:A,Orders!E:E,"")</x:f>
        <x:v>East</x:v>
      </x:c>
      <x:c r="L367" t="n">
        <x:f>XLOOKUP(B367,Orders!A:A,Orders!B:B,"")</x:f>
        <x:v>46005</x:v>
      </x:c>
      <x:c r="M367" t="str">
        <x:f>XLOOKUP(C367,Products!A:A,Products!C:C,"")</x:f>
        <x:v>Office Supplies</x:v>
      </x:c>
    </x:row>
    <x:row r="368">
      <x:c r="A368" s="15" t="str">
        <x:v>ITEM00158_1</x:v>
      </x:c>
      <x:c r="B368" s="15" t="str">
        <x:v>ORD00158</x:v>
      </x:c>
      <x:c r="C368" s="15" t="str">
        <x:v>PROD025</x:v>
      </x:c>
      <x:c r="D368" s="15" t="n">
        <x:v>6</x:v>
      </x:c>
      <x:c r="E368" s="15" t="n">
        <x:v>1148.84</x:v>
      </x:c>
      <x:c r="F368" s="15" t="n">
        <x:v>0</x:v>
      </x:c>
      <x:c r="G368" s="15" t="n">
        <x:v>6893.04</x:v>
      </x:c>
      <x:c r="H368" s="15" t="n">
        <x:v>6893.04</x:v>
      </x:c>
      <x:c r="I368" s="15" t="n">
        <x:v>5268</x:v>
      </x:c>
      <x:c r="J368" s="15" t="n">
        <x:v>1625.04</x:v>
      </x:c>
      <x:c r="K368" t="str">
        <x:f>XLOOKUP(B368,Orders!A:A,Orders!E:E,"")</x:f>
        <x:v>East</x:v>
      </x:c>
      <x:c r="L368" t="n">
        <x:f>XLOOKUP(B368,Orders!A:A,Orders!B:B,"")</x:f>
        <x:v>45759</x:v>
      </x:c>
      <x:c r="M368" t="str">
        <x:f>XLOOKUP(C368,Products!A:A,Products!C:C,"")</x:f>
        <x:v>Furniture</x:v>
      </x:c>
    </x:row>
    <x:row r="369">
      <x:c r="A369" s="15" t="str">
        <x:v>ITEM00158_2</x:v>
      </x:c>
      <x:c r="B369" s="15" t="str">
        <x:v>ORD00158</x:v>
      </x:c>
      <x:c r="C369" s="15" t="str">
        <x:v>PROD021</x:v>
      </x:c>
      <x:c r="D369" s="15" t="n">
        <x:v>3</x:v>
      </x:c>
      <x:c r="E369" s="15" t="n">
        <x:v>6748.85</x:v>
      </x:c>
      <x:c r="F369" s="15" t="n">
        <x:v>0</x:v>
      </x:c>
      <x:c r="G369" s="15" t="n">
        <x:v>20246.55</x:v>
      </x:c>
      <x:c r="H369" s="15" t="n">
        <x:v>20246.55</x:v>
      </x:c>
      <x:c r="I369" s="15" t="n">
        <x:v>14997</x:v>
      </x:c>
      <x:c r="J369" s="15" t="n">
        <x:v>5249.55</x:v>
      </x:c>
      <x:c r="K369" t="str">
        <x:f>XLOOKUP(B369,Orders!A:A,Orders!E:E,"")</x:f>
        <x:v>East</x:v>
      </x:c>
      <x:c r="L369" t="n">
        <x:f>XLOOKUP(B369,Orders!A:A,Orders!B:B,"")</x:f>
        <x:v>45759</x:v>
      </x:c>
      <x:c r="M369" t="str">
        <x:f>XLOOKUP(C369,Products!A:A,Products!C:C,"")</x:f>
        <x:v>Electronics</x:v>
      </x:c>
    </x:row>
    <x:row r="370">
      <x:c r="A370" s="15" t="str">
        <x:v>ITEM00158_3</x:v>
      </x:c>
      <x:c r="B370" s="15" t="str">
        <x:v>ORD00158</x:v>
      </x:c>
      <x:c r="C370" s="15" t="str">
        <x:v>PROD024</x:v>
      </x:c>
      <x:c r="D370" s="15" t="n">
        <x:v>4</x:v>
      </x:c>
      <x:c r="E370" s="15" t="n">
        <x:v>4018</x:v>
      </x:c>
      <x:c r="F370" s="15" t="n">
        <x:v>0</x:v>
      </x:c>
      <x:c r="G370" s="15" t="n">
        <x:v>16072</x:v>
      </x:c>
      <x:c r="H370" s="15" t="n">
        <x:v>16072</x:v>
      </x:c>
      <x:c r="I370" s="15" t="n">
        <x:v>12768</x:v>
      </x:c>
      <x:c r="J370" s="15" t="n">
        <x:v>3304</x:v>
      </x:c>
      <x:c r="K370" t="str">
        <x:f>XLOOKUP(B370,Orders!A:A,Orders!E:E,"")</x:f>
        <x:v>East</x:v>
      </x:c>
      <x:c r="L370" t="n">
        <x:f>XLOOKUP(B370,Orders!A:A,Orders!B:B,"")</x:f>
        <x:v>45759</x:v>
      </x:c>
      <x:c r="M370" t="str">
        <x:f>XLOOKUP(C370,Products!A:A,Products!C:C,"")</x:f>
        <x:v>Furniture</x:v>
      </x:c>
    </x:row>
    <x:row r="371">
      <x:c r="A371" s="15" t="str">
        <x:v>ITEM00158_4</x:v>
      </x:c>
      <x:c r="B371" s="15" t="str">
        <x:v>ORD00158</x:v>
      </x:c>
      <x:c r="C371" s="15" t="str">
        <x:v>PROD006</x:v>
      </x:c>
      <x:c r="D371" s="15" t="n">
        <x:v>8</x:v>
      </x:c>
      <x:c r="E371" s="15" t="n">
        <x:v>4261.26</x:v>
      </x:c>
      <x:c r="F371" s="15" t="n">
        <x:v>0</x:v>
      </x:c>
      <x:c r="G371" s="15" t="n">
        <x:v>34090.08</x:v>
      </x:c>
      <x:c r="H371" s="15" t="n">
        <x:v>34090.08</x:v>
      </x:c>
      <x:c r="I371" s="15" t="n">
        <x:v>24536</x:v>
      </x:c>
      <x:c r="J371" s="15" t="n">
        <x:v>9554.08</x:v>
      </x:c>
      <x:c r="K371" t="str">
        <x:f>XLOOKUP(B371,Orders!A:A,Orders!E:E,"")</x:f>
        <x:v>East</x:v>
      </x:c>
      <x:c r="L371" t="n">
        <x:f>XLOOKUP(B371,Orders!A:A,Orders!B:B,"")</x:f>
        <x:v>45759</x:v>
      </x:c>
      <x:c r="M371" t="str">
        <x:f>XLOOKUP(C371,Products!A:A,Products!C:C,"")</x:f>
        <x:v>Office Supplies</x:v>
      </x:c>
    </x:row>
    <x:row r="372">
      <x:c r="A372" s="15" t="str">
        <x:v>ITEM00159_1</x:v>
      </x:c>
      <x:c r="B372" s="15" t="str">
        <x:v>ORD00159</x:v>
      </x:c>
      <x:c r="C372" s="15" t="str">
        <x:v>PROD004</x:v>
      </x:c>
      <x:c r="D372" s="15" t="n">
        <x:v>4</x:v>
      </x:c>
      <x:c r="E372" s="15" t="n">
        <x:v>5435.39</x:v>
      </x:c>
      <x:c r="F372" s="15" t="n">
        <x:v>0.05</x:v>
      </x:c>
      <x:c r="G372" s="15" t="n">
        <x:v>21741.56</x:v>
      </x:c>
      <x:c r="H372" s="15" t="n">
        <x:v>20654.48</x:v>
      </x:c>
      <x:c r="I372" s="15" t="n">
        <x:v>16564</x:v>
      </x:c>
      <x:c r="J372" s="15" t="n">
        <x:v>4090.48</x:v>
      </x:c>
      <x:c r="K372" t="str">
        <x:f>XLOOKUP(B372,Orders!A:A,Orders!E:E,"")</x:f>
        <x:v>North</x:v>
      </x:c>
      <x:c r="L372" t="n">
        <x:f>XLOOKUP(B372,Orders!A:A,Orders!B:B,"")</x:f>
        <x:v>45993</x:v>
      </x:c>
      <x:c r="M372" t="str">
        <x:f>XLOOKUP(C372,Products!A:A,Products!C:C,"")</x:f>
        <x:v>Office Supplies</x:v>
      </x:c>
    </x:row>
    <x:row r="373">
      <x:c r="A373" s="15" t="str">
        <x:v>ITEM00159_2</x:v>
      </x:c>
      <x:c r="B373" s="15" t="str">
        <x:v>ORD00159</x:v>
      </x:c>
      <x:c r="C373" s="15" t="str">
        <x:v>PROD028</x:v>
      </x:c>
      <x:c r="D373" s="15" t="n">
        <x:v>6</x:v>
      </x:c>
      <x:c r="E373" s="15" t="n">
        <x:v>4640.74</x:v>
      </x:c>
      <x:c r="F373" s="15" t="n">
        <x:v>0.15</x:v>
      </x:c>
      <x:c r="G373" s="15" t="n">
        <x:v>27844.44</x:v>
      </x:c>
      <x:c r="H373" s="15" t="n">
        <x:v>23667.77</x:v>
      </x:c>
      <x:c r="I373" s="15" t="n">
        <x:v>21204</x:v>
      </x:c>
      <x:c r="J373" s="15" t="n">
        <x:v>2463.77</x:v>
      </x:c>
      <x:c r="K373" t="str">
        <x:f>XLOOKUP(B373,Orders!A:A,Orders!E:E,"")</x:f>
        <x:v>North</x:v>
      </x:c>
      <x:c r="L373" t="n">
        <x:f>XLOOKUP(B373,Orders!A:A,Orders!B:B,"")</x:f>
        <x:v>45993</x:v>
      </x:c>
      <x:c r="M373" t="str">
        <x:f>XLOOKUP(C373,Products!A:A,Products!C:C,"")</x:f>
        <x:v>Office Supplies</x:v>
      </x:c>
    </x:row>
    <x:row r="374">
      <x:c r="A374" s="15" t="str">
        <x:v>ITEM00159_3</x:v>
      </x:c>
      <x:c r="B374" s="15" t="str">
        <x:v>ORD00159</x:v>
      </x:c>
      <x:c r="C374" s="15" t="str">
        <x:v>PROD036</x:v>
      </x:c>
      <x:c r="D374" s="15" t="n">
        <x:v>5</x:v>
      </x:c>
      <x:c r="E374" s="15" t="n">
        <x:v>7158.64</x:v>
      </x:c>
      <x:c r="F374" s="15" t="n">
        <x:v>0</x:v>
      </x:c>
      <x:c r="G374" s="15" t="n">
        <x:v>35793.2</x:v>
      </x:c>
      <x:c r="H374" s="15" t="n">
        <x:v>35793.2</x:v>
      </x:c>
      <x:c r="I374" s="15" t="n">
        <x:v>25855</x:v>
      </x:c>
      <x:c r="J374" s="15" t="n">
        <x:v>9938.2</x:v>
      </x:c>
      <x:c r="K374" t="str">
        <x:f>XLOOKUP(B374,Orders!A:A,Orders!E:E,"")</x:f>
        <x:v>North</x:v>
      </x:c>
      <x:c r="L374" t="n">
        <x:f>XLOOKUP(B374,Orders!A:A,Orders!B:B,"")</x:f>
        <x:v>45993</x:v>
      </x:c>
      <x:c r="M374" t="str">
        <x:f>XLOOKUP(C374,Products!A:A,Products!C:C,"")</x:f>
        <x:v>Accessories</x:v>
      </x:c>
    </x:row>
    <x:row r="375">
      <x:c r="A375" s="15" t="str">
        <x:v>ITEM00159_4</x:v>
      </x:c>
      <x:c r="B375" s="15" t="str">
        <x:v>ORD00159</x:v>
      </x:c>
      <x:c r="C375" s="15" t="str">
        <x:v>PROD035</x:v>
      </x:c>
      <x:c r="D375" s="15" t="n">
        <x:v>1</x:v>
      </x:c>
      <x:c r="E375" s="15" t="n">
        <x:v>3972.26</x:v>
      </x:c>
      <x:c r="F375" s="15" t="n">
        <x:v>0.1</x:v>
      </x:c>
      <x:c r="G375" s="15" t="n">
        <x:v>3972.26</x:v>
      </x:c>
      <x:c r="H375" s="15" t="n">
        <x:v>3575.03</x:v>
      </x:c>
      <x:c r="I375" s="15" t="n">
        <x:v>3187</x:v>
      </x:c>
      <x:c r="J375" s="15" t="n">
        <x:v>388.03</x:v>
      </x:c>
      <x:c r="K375" t="str">
        <x:f>XLOOKUP(B375,Orders!A:A,Orders!E:E,"")</x:f>
        <x:v>North</x:v>
      </x:c>
      <x:c r="L375" t="n">
        <x:f>XLOOKUP(B375,Orders!A:A,Orders!B:B,"")</x:f>
        <x:v>45993</x:v>
      </x:c>
      <x:c r="M375" t="str">
        <x:f>XLOOKUP(C375,Products!A:A,Products!C:C,"")</x:f>
        <x:v>Electronics</x:v>
      </x:c>
    </x:row>
    <x:row r="376">
      <x:c r="A376" s="15" t="str">
        <x:v>ITEM00160_1</x:v>
      </x:c>
      <x:c r="B376" s="15" t="str">
        <x:v>ORD00160</x:v>
      </x:c>
      <x:c r="C376" s="15" t="str">
        <x:v>PROD007</x:v>
      </x:c>
      <x:c r="D376" s="15" t="n">
        <x:v>1</x:v>
      </x:c>
      <x:c r="E376" s="15" t="n">
        <x:v>5013.07</x:v>
      </x:c>
      <x:c r="F376" s="15" t="n">
        <x:v>0.1</x:v>
      </x:c>
      <x:c r="G376" s="15" t="n">
        <x:v>5013.07</x:v>
      </x:c>
      <x:c r="H376" s="15" t="n">
        <x:v>4511.76</x:v>
      </x:c>
      <x:c r="I376" s="15" t="n">
        <x:v>3941</x:v>
      </x:c>
      <x:c r="J376" s="15" t="n">
        <x:v>570.76</x:v>
      </x:c>
      <x:c r="K376" t="str">
        <x:f>XLOOKUP(B376,Orders!A:A,Orders!E:E,"")</x:f>
        <x:v>East</x:v>
      </x:c>
      <x:c r="L376" t="n">
        <x:f>XLOOKUP(B376,Orders!A:A,Orders!B:B,"")</x:f>
        <x:v>45784</x:v>
      </x:c>
      <x:c r="M376" t="str">
        <x:f>XLOOKUP(C376,Products!A:A,Products!C:C,"")</x:f>
        <x:v>Electronics</x:v>
      </x:c>
    </x:row>
    <x:row r="377">
      <x:c r="A377" s="15" t="str">
        <x:v>ITEM00160_2</x:v>
      </x:c>
      <x:c r="B377" s="15" t="str">
        <x:v>ORD00160</x:v>
      </x:c>
      <x:c r="C377" s="15" t="str">
        <x:v>PROD040</x:v>
      </x:c>
      <x:c r="D377" s="15" t="n">
        <x:v>8</x:v>
      </x:c>
      <x:c r="E377" s="15" t="n">
        <x:v>8561.07</x:v>
      </x:c>
      <x:c r="F377" s="15" t="n">
        <x:v>0</x:v>
      </x:c>
      <x:c r="G377" s="15" t="n">
        <x:v>68488.56</x:v>
      </x:c>
      <x:c r="H377" s="15" t="n">
        <x:v>68488.56</x:v>
      </x:c>
      <x:c r="I377" s="15" t="n">
        <x:v>54728</x:v>
      </x:c>
      <x:c r="J377" s="15" t="n">
        <x:v>13760.56</x:v>
      </x:c>
      <x:c r="K377" t="str">
        <x:f>XLOOKUP(B377,Orders!A:A,Orders!E:E,"")</x:f>
        <x:v>East</x:v>
      </x:c>
      <x:c r="L377" t="n">
        <x:f>XLOOKUP(B377,Orders!A:A,Orders!B:B,"")</x:f>
        <x:v>45784</x:v>
      </x:c>
      <x:c r="M377" t="str">
        <x:f>XLOOKUP(C377,Products!A:A,Products!C:C,"")</x:f>
        <x:v>Electronics</x:v>
      </x:c>
    </x:row>
    <x:row r="378">
      <x:c r="A378" s="15" t="str">
        <x:v>ITEM00160_3</x:v>
      </x:c>
      <x:c r="B378" s="15" t="str">
        <x:v>ORD00160</x:v>
      </x:c>
      <x:c r="C378" s="15" t="str">
        <x:v>PROD014</x:v>
      </x:c>
      <x:c r="D378" s="15" t="n">
        <x:v>8</x:v>
      </x:c>
      <x:c r="E378" s="15" t="n">
        <x:v>1611.65</x:v>
      </x:c>
      <x:c r="F378" s="15" t="n">
        <x:v>0.15</x:v>
      </x:c>
      <x:c r="G378" s="15" t="n">
        <x:v>12893.2</x:v>
      </x:c>
      <x:c r="H378" s="15" t="n">
        <x:v>10959.22</x:v>
      </x:c>
      <x:c r="I378" s="15" t="n">
        <x:v>9864</x:v>
      </x:c>
      <x:c r="J378" s="15" t="n">
        <x:v>1095.22</x:v>
      </x:c>
      <x:c r="K378" t="str">
        <x:f>XLOOKUP(B378,Orders!A:A,Orders!E:E,"")</x:f>
        <x:v>East</x:v>
      </x:c>
      <x:c r="L378" t="n">
        <x:f>XLOOKUP(B378,Orders!A:A,Orders!B:B,"")</x:f>
        <x:v>45784</x:v>
      </x:c>
      <x:c r="M378" t="str">
        <x:f>XLOOKUP(C378,Products!A:A,Products!C:C,"")</x:f>
        <x:v>Office Supplies</x:v>
      </x:c>
    </x:row>
    <x:row r="379">
      <x:c r="A379" s="15" t="str">
        <x:v>ITEM00160_4</x:v>
      </x:c>
      <x:c r="B379" s="15" t="str">
        <x:v>ORD00160</x:v>
      </x:c>
      <x:c r="C379" s="15" t="str">
        <x:v>PROD037</x:v>
      </x:c>
      <x:c r="D379" s="15" t="n">
        <x:v>8</x:v>
      </x:c>
      <x:c r="E379" s="15" t="n">
        <x:v>9876.8</x:v>
      </x:c>
      <x:c r="F379" s="15" t="n">
        <x:v>0.1</x:v>
      </x:c>
      <x:c r="G379" s="15" t="n">
        <x:v>79014.4</x:v>
      </x:c>
      <x:c r="H379" s="15" t="n">
        <x:v>71112.96</x:v>
      </x:c>
      <x:c r="I379" s="15" t="n">
        <x:v>56992</x:v>
      </x:c>
      <x:c r="J379" s="15" t="n">
        <x:v>14120.96</x:v>
      </x:c>
      <x:c r="K379" t="str">
        <x:f>XLOOKUP(B379,Orders!A:A,Orders!E:E,"")</x:f>
        <x:v>East</x:v>
      </x:c>
      <x:c r="L379" t="n">
        <x:f>XLOOKUP(B379,Orders!A:A,Orders!B:B,"")</x:f>
        <x:v>45784</x:v>
      </x:c>
      <x:c r="M379" t="str">
        <x:f>XLOOKUP(C379,Products!A:A,Products!C:C,"")</x:f>
        <x:v>Accessories</x:v>
      </x:c>
    </x:row>
    <x:row r="380">
      <x:c r="A380" s="15" t="str">
        <x:v>ITEM00161_1</x:v>
      </x:c>
      <x:c r="B380" s="15" t="str">
        <x:v>ORD00161</x:v>
      </x:c>
      <x:c r="C380" s="15" t="str">
        <x:v>PROD019</x:v>
      </x:c>
      <x:c r="D380" s="15" t="n">
        <x:v>2</x:v>
      </x:c>
      <x:c r="E380" s="15" t="n">
        <x:v>5996.29</x:v>
      </x:c>
      <x:c r="F380" s="15" t="n">
        <x:v>0.1</x:v>
      </x:c>
      <x:c r="G380" s="15" t="n">
        <x:v>11992.58</x:v>
      </x:c>
      <x:c r="H380" s="15" t="n">
        <x:v>10793.32</x:v>
      </x:c>
      <x:c r="I380" s="15" t="n">
        <x:v>9020</x:v>
      </x:c>
      <x:c r="J380" s="15" t="n">
        <x:v>1773.32</x:v>
      </x:c>
      <x:c r="K380" t="str">
        <x:f>XLOOKUP(B380,Orders!A:A,Orders!E:E,"")</x:f>
        <x:v>South</x:v>
      </x:c>
      <x:c r="L380" t="n">
        <x:f>XLOOKUP(B380,Orders!A:A,Orders!B:B,"")</x:f>
        <x:v>46179</x:v>
      </x:c>
      <x:c r="M380" t="str">
        <x:f>XLOOKUP(C380,Products!A:A,Products!C:C,"")</x:f>
        <x:v>Electronics</x:v>
      </x:c>
    </x:row>
    <x:row r="381">
      <x:c r="A381" s="15" t="str">
        <x:v>ITEM00162_1</x:v>
      </x:c>
      <x:c r="B381" s="15" t="str">
        <x:v>ORD00162</x:v>
      </x:c>
      <x:c r="C381" s="15" t="str">
        <x:v>PROD018</x:v>
      </x:c>
      <x:c r="D381" s="15" t="n">
        <x:v>1</x:v>
      </x:c>
      <x:c r="E381" s="15" t="n">
        <x:v>5637.8</x:v>
      </x:c>
      <x:c r="F381" s="15" t="n">
        <x:v>0</x:v>
      </x:c>
      <x:c r="G381" s="15" t="n">
        <x:v>5637.8</x:v>
      </x:c>
      <x:c r="H381" s="15" t="n">
        <x:v>5637.8</x:v>
      </x:c>
      <x:c r="I381" s="15" t="n">
        <x:v>4211</x:v>
      </x:c>
      <x:c r="J381" s="15" t="n">
        <x:v>1426.8</x:v>
      </x:c>
      <x:c r="K381" t="str">
        <x:f>XLOOKUP(B381,Orders!A:A,Orders!E:E,"")</x:f>
        <x:v>East</x:v>
      </x:c>
      <x:c r="L381" t="n">
        <x:f>XLOOKUP(B381,Orders!A:A,Orders!B:B,"")</x:f>
        <x:v>45667</x:v>
      </x:c>
      <x:c r="M381" t="str">
        <x:f>XLOOKUP(C381,Products!A:A,Products!C:C,"")</x:f>
        <x:v>Electronics</x:v>
      </x:c>
    </x:row>
    <x:row r="382">
      <x:c r="A382" s="15" t="str">
        <x:v>ITEM00162_2</x:v>
      </x:c>
      <x:c r="B382" s="15" t="str">
        <x:v>ORD00162</x:v>
      </x:c>
      <x:c r="C382" s="15" t="str">
        <x:v>PROD019</x:v>
      </x:c>
      <x:c r="D382" s="15" t="n">
        <x:v>3</x:v>
      </x:c>
      <x:c r="E382" s="15" t="n">
        <x:v>5996.29</x:v>
      </x:c>
      <x:c r="F382" s="15" t="n">
        <x:v>0</x:v>
      </x:c>
      <x:c r="G382" s="15" t="n">
        <x:v>17988.87</x:v>
      </x:c>
      <x:c r="H382" s="15" t="n">
        <x:v>17988.87</x:v>
      </x:c>
      <x:c r="I382" s="15" t="n">
        <x:v>13530</x:v>
      </x:c>
      <x:c r="J382" s="15" t="n">
        <x:v>4458.87</x:v>
      </x:c>
      <x:c r="K382" t="str">
        <x:f>XLOOKUP(B382,Orders!A:A,Orders!E:E,"")</x:f>
        <x:v>East</x:v>
      </x:c>
      <x:c r="L382" t="n">
        <x:f>XLOOKUP(B382,Orders!A:A,Orders!B:B,"")</x:f>
        <x:v>45667</x:v>
      </x:c>
      <x:c r="M382" t="str">
        <x:f>XLOOKUP(C382,Products!A:A,Products!C:C,"")</x:f>
        <x:v>Electronics</x:v>
      </x:c>
    </x:row>
    <x:row r="383">
      <x:c r="A383" s="15" t="str">
        <x:v>ITEM00162_3</x:v>
      </x:c>
      <x:c r="B383" s="15" t="str">
        <x:v>ORD00162</x:v>
      </x:c>
      <x:c r="C383" s="15" t="str">
        <x:v>PROD010</x:v>
      </x:c>
      <x:c r="D383" s="15" t="n">
        <x:v>4</x:v>
      </x:c>
      <x:c r="E383" s="15" t="n">
        <x:v>8670.63</x:v>
      </x:c>
      <x:c r="F383" s="15" t="n">
        <x:v>0</x:v>
      </x:c>
      <x:c r="G383" s="15" t="n">
        <x:v>34682.52</x:v>
      </x:c>
      <x:c r="H383" s="15" t="n">
        <x:v>34682.52</x:v>
      </x:c>
      <x:c r="I383" s="15" t="n">
        <x:v>23412</x:v>
      </x:c>
      <x:c r="J383" s="15" t="n">
        <x:v>11270.52</x:v>
      </x:c>
      <x:c r="K383" t="str">
        <x:f>XLOOKUP(B383,Orders!A:A,Orders!E:E,"")</x:f>
        <x:v>East</x:v>
      </x:c>
      <x:c r="L383" t="n">
        <x:f>XLOOKUP(B383,Orders!A:A,Orders!B:B,"")</x:f>
        <x:v>45667</x:v>
      </x:c>
      <x:c r="M383" t="str">
        <x:f>XLOOKUP(C383,Products!A:A,Products!C:C,"")</x:f>
        <x:v>Accessories</x:v>
      </x:c>
    </x:row>
    <x:row r="384">
      <x:c r="A384" s="15" t="str">
        <x:v>ITEM00163_1</x:v>
      </x:c>
      <x:c r="B384" s="15" t="str">
        <x:v>ORD00163</x:v>
      </x:c>
      <x:c r="C384" s="15" t="str">
        <x:v>PROD032</x:v>
      </x:c>
      <x:c r="D384" s="15" t="n">
        <x:v>3</x:v>
      </x:c>
      <x:c r="E384" s="15" t="n">
        <x:v>6307.06</x:v>
      </x:c>
      <x:c r="F384" s="15" t="n">
        <x:v>0</x:v>
      </x:c>
      <x:c r="G384" s="15" t="n">
        <x:v>18921.18</x:v>
      </x:c>
      <x:c r="H384" s="15" t="n">
        <x:v>18921.18</x:v>
      </x:c>
      <x:c r="I384" s="15" t="n">
        <x:v>15231</x:v>
      </x:c>
      <x:c r="J384" s="15" t="n">
        <x:v>3690.18</x:v>
      </x:c>
      <x:c r="K384" t="str">
        <x:f>XLOOKUP(B384,Orders!A:A,Orders!E:E,"")</x:f>
        <x:v>East</x:v>
      </x:c>
      <x:c r="L384" t="n">
        <x:f>XLOOKUP(B384,Orders!A:A,Orders!B:B,"")</x:f>
        <x:v>45733</x:v>
      </x:c>
      <x:c r="M384" t="str">
        <x:f>XLOOKUP(C384,Products!A:A,Products!C:C,"")</x:f>
        <x:v>Electronics</x:v>
      </x:c>
    </x:row>
    <x:row r="385">
      <x:c r="A385" s="15" t="str">
        <x:v>ITEM00164_1</x:v>
      </x:c>
      <x:c r="B385" s="15" t="str">
        <x:v>ORD00164</x:v>
      </x:c>
      <x:c r="C385" s="15" t="str">
        <x:v>PROD013</x:v>
      </x:c>
      <x:c r="D385" s="15" t="n">
        <x:v>8</x:v>
      </x:c>
      <x:c r="E385" s="15" t="n">
        <x:v>7614.02</x:v>
      </x:c>
      <x:c r="F385" s="15" t="n">
        <x:v>0.15</x:v>
      </x:c>
      <x:c r="G385" s="15" t="n">
        <x:v>60912.16</x:v>
      </x:c>
      <x:c r="H385" s="15" t="n">
        <x:v>51775.34</x:v>
      </x:c>
      <x:c r="I385" s="15" t="n">
        <x:v>48616</x:v>
      </x:c>
      <x:c r="J385" s="15" t="n">
        <x:v>3159.34</x:v>
      </x:c>
      <x:c r="K385" t="str">
        <x:f>XLOOKUP(B385,Orders!A:A,Orders!E:E,"")</x:f>
        <x:v>East</x:v>
      </x:c>
      <x:c r="L385" t="n">
        <x:f>XLOOKUP(B385,Orders!A:A,Orders!B:B,"")</x:f>
        <x:v>45805</x:v>
      </x:c>
      <x:c r="M385" t="str">
        <x:f>XLOOKUP(C385,Products!A:A,Products!C:C,"")</x:f>
        <x:v>Furniture</x:v>
      </x:c>
    </x:row>
    <x:row r="386">
      <x:c r="A386" s="15" t="str">
        <x:v>ITEM00165_1</x:v>
      </x:c>
      <x:c r="B386" s="15" t="str">
        <x:v>ORD00165</x:v>
      </x:c>
      <x:c r="C386" s="15" t="str">
        <x:v>PROD023</x:v>
      </x:c>
      <x:c r="D386" s="15" t="n">
        <x:v>8</x:v>
      </x:c>
      <x:c r="E386" s="15" t="n">
        <x:v>5153.56</x:v>
      </x:c>
      <x:c r="F386" s="15" t="n">
        <x:v>0</x:v>
      </x:c>
      <x:c r="G386" s="15" t="n">
        <x:v>41228.48</x:v>
      </x:c>
      <x:c r="H386" s="15" t="n">
        <x:v>41228.48</x:v>
      </x:c>
      <x:c r="I386" s="15" t="n">
        <x:v>31664</x:v>
      </x:c>
      <x:c r="J386" s="15" t="n">
        <x:v>9564.48</x:v>
      </x:c>
      <x:c r="K386" t="str">
        <x:f>XLOOKUP(B386,Orders!A:A,Orders!E:E,"")</x:f>
        <x:v>North</x:v>
      </x:c>
      <x:c r="L386" t="n">
        <x:f>XLOOKUP(B386,Orders!A:A,Orders!B:B,"")</x:f>
        <x:v>46036</x:v>
      </x:c>
      <x:c r="M386" t="str">
        <x:f>XLOOKUP(C386,Products!A:A,Products!C:C,"")</x:f>
        <x:v>Electronics</x:v>
      </x:c>
    </x:row>
    <x:row r="387">
      <x:c r="A387" s="15" t="str">
        <x:v>ITEM00165_2</x:v>
      </x:c>
      <x:c r="B387" s="15" t="str">
        <x:v>ORD00165</x:v>
      </x:c>
      <x:c r="C387" s="15" t="str">
        <x:v>PROD029</x:v>
      </x:c>
      <x:c r="D387" s="15" t="n">
        <x:v>2</x:v>
      </x:c>
      <x:c r="E387" s="15" t="n">
        <x:v>8430.77</x:v>
      </x:c>
      <x:c r="F387" s="15" t="n">
        <x:v>0.1</x:v>
      </x:c>
      <x:c r="G387" s="15" t="n">
        <x:v>16861.54</x:v>
      </x:c>
      <x:c r="H387" s="15" t="n">
        <x:v>15175.39</x:v>
      </x:c>
      <x:c r="I387" s="15" t="n">
        <x:v>12370</x:v>
      </x:c>
      <x:c r="J387" s="15" t="n">
        <x:v>2805.39</x:v>
      </x:c>
      <x:c r="K387" t="str">
        <x:f>XLOOKUP(B387,Orders!A:A,Orders!E:E,"")</x:f>
        <x:v>North</x:v>
      </x:c>
      <x:c r="L387" t="n">
        <x:f>XLOOKUP(B387,Orders!A:A,Orders!B:B,"")</x:f>
        <x:v>46036</x:v>
      </x:c>
      <x:c r="M387" t="str">
        <x:f>XLOOKUP(C387,Products!A:A,Products!C:C,"")</x:f>
        <x:v>Office Supplies</x:v>
      </x:c>
    </x:row>
    <x:row r="388">
      <x:c r="A388" s="15" t="str">
        <x:v>ITEM00165_3</x:v>
      </x:c>
      <x:c r="B388" s="15" t="str">
        <x:v>ORD00165</x:v>
      </x:c>
      <x:c r="C388" s="15" t="str">
        <x:v>PROD030</x:v>
      </x:c>
      <x:c r="D388" s="15" t="n">
        <x:v>1</x:v>
      </x:c>
      <x:c r="E388" s="15" t="n">
        <x:v>5180.7</x:v>
      </x:c>
      <x:c r="F388" s="15" t="n">
        <x:v>0.15</x:v>
      </x:c>
      <x:c r="G388" s="15" t="n">
        <x:v>5180.7</x:v>
      </x:c>
      <x:c r="H388" s="15" t="n">
        <x:v>4403.59</x:v>
      </x:c>
      <x:c r="I388" s="15" t="n">
        <x:v>3888</x:v>
      </x:c>
      <x:c r="J388" s="15" t="n">
        <x:v>515.59</x:v>
      </x:c>
      <x:c r="K388" t="str">
        <x:f>XLOOKUP(B388,Orders!A:A,Orders!E:E,"")</x:f>
        <x:v>North</x:v>
      </x:c>
      <x:c r="L388" t="n">
        <x:f>XLOOKUP(B388,Orders!A:A,Orders!B:B,"")</x:f>
        <x:v>46036</x:v>
      </x:c>
      <x:c r="M388" t="str">
        <x:f>XLOOKUP(C388,Products!A:A,Products!C:C,"")</x:f>
        <x:v>Office Supplies</x:v>
      </x:c>
    </x:row>
    <x:row r="389">
      <x:c r="A389" s="15" t="str">
        <x:v>ITEM00166_1</x:v>
      </x:c>
      <x:c r="B389" s="15" t="str">
        <x:v>ORD00166</x:v>
      </x:c>
      <x:c r="C389" s="15" t="str">
        <x:v>PROD008</x:v>
      </x:c>
      <x:c r="D389" s="15" t="n">
        <x:v>5</x:v>
      </x:c>
      <x:c r="E389" s="15" t="n">
        <x:v>8534.48</x:v>
      </x:c>
      <x:c r="F389" s="15" t="n">
        <x:v>0</x:v>
      </x:c>
      <x:c r="G389" s="15" t="n">
        <x:v>42672.4</x:v>
      </x:c>
      <x:c r="H389" s="15" t="n">
        <x:v>42672.4</x:v>
      </x:c>
      <x:c r="I389" s="15" t="n">
        <x:v>30985</x:v>
      </x:c>
      <x:c r="J389" s="15" t="n">
        <x:v>11687.4</x:v>
      </x:c>
      <x:c r="K389" t="str">
        <x:f>XLOOKUP(B389,Orders!A:A,Orders!E:E,"")</x:f>
        <x:v>West</x:v>
      </x:c>
      <x:c r="L389" t="n">
        <x:f>XLOOKUP(B389,Orders!A:A,Orders!B:B,"")</x:f>
        <x:v>46169</x:v>
      </x:c>
      <x:c r="M389" t="str">
        <x:f>XLOOKUP(C389,Products!A:A,Products!C:C,"")</x:f>
        <x:v>Office Supplies</x:v>
      </x:c>
    </x:row>
    <x:row r="390">
      <x:c r="A390" s="15" t="str">
        <x:v>ITEM00167_1</x:v>
      </x:c>
      <x:c r="B390" s="15" t="str">
        <x:v>ORD00167</x:v>
      </x:c>
      <x:c r="C390" s="15" t="str">
        <x:v>PROD011</x:v>
      </x:c>
      <x:c r="D390" s="15" t="n">
        <x:v>2</x:v>
      </x:c>
      <x:c r="E390" s="15" t="n">
        <x:v>7135.27</x:v>
      </x:c>
      <x:c r="F390" s="15" t="n">
        <x:v>0.05</x:v>
      </x:c>
      <x:c r="G390" s="15" t="n">
        <x:v>14270.54</x:v>
      </x:c>
      <x:c r="H390" s="15" t="n">
        <x:v>13557.01</x:v>
      </x:c>
      <x:c r="I390" s="15" t="n">
        <x:v>10406</x:v>
      </x:c>
      <x:c r="J390" s="15" t="n">
        <x:v>3151.01</x:v>
      </x:c>
      <x:c r="K390" t="str">
        <x:f>XLOOKUP(B390,Orders!A:A,Orders!E:E,"")</x:f>
        <x:v>East</x:v>
      </x:c>
      <x:c r="L390" t="n">
        <x:f>XLOOKUP(B390,Orders!A:A,Orders!B:B,"")</x:f>
        <x:v>45857</x:v>
      </x:c>
      <x:c r="M390" t="str">
        <x:f>XLOOKUP(C390,Products!A:A,Products!C:C,"")</x:f>
        <x:v>Accessories</x:v>
      </x:c>
    </x:row>
    <x:row r="391">
      <x:c r="A391" s="15" t="str">
        <x:v>ITEM00168_1</x:v>
      </x:c>
      <x:c r="B391" s="15" t="str">
        <x:v>ORD00168</x:v>
      </x:c>
      <x:c r="C391" s="15" t="str">
        <x:v>PROD035</x:v>
      </x:c>
      <x:c r="D391" s="15" t="n">
        <x:v>2</x:v>
      </x:c>
      <x:c r="E391" s="15" t="n">
        <x:v>3972.26</x:v>
      </x:c>
      <x:c r="F391" s="15" t="n">
        <x:v>0.15</x:v>
      </x:c>
      <x:c r="G391" s="15" t="n">
        <x:v>7944.52</x:v>
      </x:c>
      <x:c r="H391" s="15" t="n">
        <x:v>6752.84</x:v>
      </x:c>
      <x:c r="I391" s="15" t="n">
        <x:v>6374</x:v>
      </x:c>
      <x:c r="J391" s="15" t="n">
        <x:v>378.84</x:v>
      </x:c>
      <x:c r="K391" t="str">
        <x:f>XLOOKUP(B391,Orders!A:A,Orders!E:E,"")</x:f>
        <x:v>East</x:v>
      </x:c>
      <x:c r="L391" t="n">
        <x:f>XLOOKUP(B391,Orders!A:A,Orders!B:B,"")</x:f>
        <x:v>46157</x:v>
      </x:c>
      <x:c r="M391" t="str">
        <x:f>XLOOKUP(C391,Products!A:A,Products!C:C,"")</x:f>
        <x:v>Electronics</x:v>
      </x:c>
    </x:row>
    <x:row r="392">
      <x:c r="A392" s="15" t="str">
        <x:v>ITEM00168_2</x:v>
      </x:c>
      <x:c r="B392" s="15" t="str">
        <x:v>ORD00168</x:v>
      </x:c>
      <x:c r="C392" s="15" t="str">
        <x:v>PROD032</x:v>
      </x:c>
      <x:c r="D392" s="15" t="n">
        <x:v>1</x:v>
      </x:c>
      <x:c r="E392" s="15" t="n">
        <x:v>6307.06</x:v>
      </x:c>
      <x:c r="F392" s="15" t="n">
        <x:v>0.15</x:v>
      </x:c>
      <x:c r="G392" s="15" t="n">
        <x:v>6307.06</x:v>
      </x:c>
      <x:c r="H392" s="15" t="n">
        <x:v>5361</x:v>
      </x:c>
      <x:c r="I392" s="15" t="n">
        <x:v>5077</x:v>
      </x:c>
      <x:c r="J392" s="15" t="n">
        <x:v>284</x:v>
      </x:c>
      <x:c r="K392" t="str">
        <x:f>XLOOKUP(B392,Orders!A:A,Orders!E:E,"")</x:f>
        <x:v>East</x:v>
      </x:c>
      <x:c r="L392" t="n">
        <x:f>XLOOKUP(B392,Orders!A:A,Orders!B:B,"")</x:f>
        <x:v>46157</x:v>
      </x:c>
      <x:c r="M392" t="str">
        <x:f>XLOOKUP(C392,Products!A:A,Products!C:C,"")</x:f>
        <x:v>Electronics</x:v>
      </x:c>
    </x:row>
    <x:row r="393">
      <x:c r="A393" s="15" t="str">
        <x:v>ITEM00169_1</x:v>
      </x:c>
      <x:c r="B393" s="15" t="str">
        <x:v>ORD00169</x:v>
      </x:c>
      <x:c r="C393" s="15" t="str">
        <x:v>PROD016</x:v>
      </x:c>
      <x:c r="D393" s="15" t="n">
        <x:v>2</x:v>
      </x:c>
      <x:c r="E393" s="15" t="n">
        <x:v>3884.33</x:v>
      </x:c>
      <x:c r="F393" s="15" t="n">
        <x:v>0.05</x:v>
      </x:c>
      <x:c r="G393" s="15" t="n">
        <x:v>7768.66</x:v>
      </x:c>
      <x:c r="H393" s="15" t="n">
        <x:v>7380.23</x:v>
      </x:c>
      <x:c r="I393" s="15" t="n">
        <x:v>6094</x:v>
      </x:c>
      <x:c r="J393" s="15" t="n">
        <x:v>1286.23</x:v>
      </x:c>
      <x:c r="K393" t="str">
        <x:f>XLOOKUP(B393,Orders!A:A,Orders!E:E,"")</x:f>
        <x:v>North</x:v>
      </x:c>
      <x:c r="L393" t="n">
        <x:f>XLOOKUP(B393,Orders!A:A,Orders!B:B,"")</x:f>
        <x:v>45772</x:v>
      </x:c>
      <x:c r="M393" t="str">
        <x:f>XLOOKUP(C393,Products!A:A,Products!C:C,"")</x:f>
        <x:v>Electronics</x:v>
      </x:c>
    </x:row>
    <x:row r="394">
      <x:c r="A394" s="15" t="str">
        <x:v>ITEM00170_1</x:v>
      </x:c>
      <x:c r="B394" s="15" t="str">
        <x:v>ORD00170</x:v>
      </x:c>
      <x:c r="C394" s="15" t="str">
        <x:v>PROD024</x:v>
      </x:c>
      <x:c r="D394" s="15" t="n">
        <x:v>8</x:v>
      </x:c>
      <x:c r="E394" s="15" t="n">
        <x:v>4018</x:v>
      </x:c>
      <x:c r="F394" s="15" t="n">
        <x:v>0.1</x:v>
      </x:c>
      <x:c r="G394" s="15" t="n">
        <x:v>32144</x:v>
      </x:c>
      <x:c r="H394" s="15" t="n">
        <x:v>28929.6</x:v>
      </x:c>
      <x:c r="I394" s="15" t="n">
        <x:v>25536</x:v>
      </x:c>
      <x:c r="J394" s="15" t="n">
        <x:v>3393.6</x:v>
      </x:c>
      <x:c r="K394" t="str">
        <x:f>XLOOKUP(B394,Orders!A:A,Orders!E:E,"")</x:f>
        <x:v>North</x:v>
      </x:c>
      <x:c r="L394" t="n">
        <x:f>XLOOKUP(B394,Orders!A:A,Orders!B:B,"")</x:f>
        <x:v>46186</x:v>
      </x:c>
      <x:c r="M394" t="str">
        <x:f>XLOOKUP(C394,Products!A:A,Products!C:C,"")</x:f>
        <x:v>Furniture</x:v>
      </x:c>
    </x:row>
    <x:row r="395">
      <x:c r="A395" s="15" t="str">
        <x:v>ITEM00170_2</x:v>
      </x:c>
      <x:c r="B395" s="15" t="str">
        <x:v>ORD00170</x:v>
      </x:c>
      <x:c r="C395" s="15" t="str">
        <x:v>PROD040</x:v>
      </x:c>
      <x:c r="D395" s="15" t="n">
        <x:v>2</x:v>
      </x:c>
      <x:c r="E395" s="15" t="n">
        <x:v>8561.07</x:v>
      </x:c>
      <x:c r="F395" s="15" t="n">
        <x:v>0</x:v>
      </x:c>
      <x:c r="G395" s="15" t="n">
        <x:v>17122.14</x:v>
      </x:c>
      <x:c r="H395" s="15" t="n">
        <x:v>17122.14</x:v>
      </x:c>
      <x:c r="I395" s="15" t="n">
        <x:v>13682</x:v>
      </x:c>
      <x:c r="J395" s="15" t="n">
        <x:v>3440.14</x:v>
      </x:c>
      <x:c r="K395" t="str">
        <x:f>XLOOKUP(B395,Orders!A:A,Orders!E:E,"")</x:f>
        <x:v>North</x:v>
      </x:c>
      <x:c r="L395" t="n">
        <x:f>XLOOKUP(B395,Orders!A:A,Orders!B:B,"")</x:f>
        <x:v>46186</x:v>
      </x:c>
      <x:c r="M395" t="str">
        <x:f>XLOOKUP(C395,Products!A:A,Products!C:C,"")</x:f>
        <x:v>Electronics</x:v>
      </x:c>
    </x:row>
    <x:row r="396">
      <x:c r="A396" s="15" t="str">
        <x:v>ITEM00170_3</x:v>
      </x:c>
      <x:c r="B396" s="15" t="str">
        <x:v>ORD00170</x:v>
      </x:c>
      <x:c r="C396" s="15" t="str">
        <x:v>PROD005</x:v>
      </x:c>
      <x:c r="D396" s="15" t="n">
        <x:v>8</x:v>
      </x:c>
      <x:c r="E396" s="15" t="n">
        <x:v>6453.62</x:v>
      </x:c>
      <x:c r="F396" s="15" t="n">
        <x:v>0.1</x:v>
      </x:c>
      <x:c r="G396" s="15" t="n">
        <x:v>51628.96</x:v>
      </x:c>
      <x:c r="H396" s="15" t="n">
        <x:v>46466.06</x:v>
      </x:c>
      <x:c r="I396" s="15" t="n">
        <x:v>38784</x:v>
      </x:c>
      <x:c r="J396" s="15" t="n">
        <x:v>7682.06</x:v>
      </x:c>
      <x:c r="K396" t="str">
        <x:f>XLOOKUP(B396,Orders!A:A,Orders!E:E,"")</x:f>
        <x:v>North</x:v>
      </x:c>
      <x:c r="L396" t="n">
        <x:f>XLOOKUP(B396,Orders!A:A,Orders!B:B,"")</x:f>
        <x:v>46186</x:v>
      </x:c>
      <x:c r="M396" t="str">
        <x:f>XLOOKUP(C396,Products!A:A,Products!C:C,"")</x:f>
        <x:v>Office Supplies</x:v>
      </x:c>
    </x:row>
    <x:row r="397">
      <x:c r="A397" s="15" t="str">
        <x:v>ITEM00171_1</x:v>
      </x:c>
      <x:c r="B397" s="15" t="str">
        <x:v>ORD00171</x:v>
      </x:c>
      <x:c r="C397" s="15" t="str">
        <x:v>PROD036</x:v>
      </x:c>
      <x:c r="D397" s="15" t="n">
        <x:v>4</x:v>
      </x:c>
      <x:c r="E397" s="15" t="n">
        <x:v>7158.64</x:v>
      </x:c>
      <x:c r="F397" s="15" t="n">
        <x:v>0</x:v>
      </x:c>
      <x:c r="G397" s="15" t="n">
        <x:v>28634.56</x:v>
      </x:c>
      <x:c r="H397" s="15" t="n">
        <x:v>28634.56</x:v>
      </x:c>
      <x:c r="I397" s="15" t="n">
        <x:v>20684</x:v>
      </x:c>
      <x:c r="J397" s="15" t="n">
        <x:v>7950.56</x:v>
      </x:c>
      <x:c r="K397" t="str">
        <x:f>XLOOKUP(B397,Orders!A:A,Orders!E:E,"")</x:f>
        <x:v>North</x:v>
      </x:c>
      <x:c r="L397" t="n">
        <x:f>XLOOKUP(B397,Orders!A:A,Orders!B:B,"")</x:f>
        <x:v>45937</x:v>
      </x:c>
      <x:c r="M397" t="str">
        <x:f>XLOOKUP(C397,Products!A:A,Products!C:C,"")</x:f>
        <x:v>Accessories</x:v>
      </x:c>
    </x:row>
    <x:row r="398">
      <x:c r="A398" s="15" t="str">
        <x:v>ITEM00172_1</x:v>
      </x:c>
      <x:c r="B398" s="15" t="str">
        <x:v>ORD00172</x:v>
      </x:c>
      <x:c r="C398" s="15" t="str">
        <x:v>PROD036</x:v>
      </x:c>
      <x:c r="D398" s="15" t="n">
        <x:v>6</x:v>
      </x:c>
      <x:c r="E398" s="15" t="n">
        <x:v>7158.64</x:v>
      </x:c>
      <x:c r="F398" s="15" t="n">
        <x:v>0</x:v>
      </x:c>
      <x:c r="G398" s="15" t="n">
        <x:v>42951.84</x:v>
      </x:c>
      <x:c r="H398" s="15" t="n">
        <x:v>42951.84</x:v>
      </x:c>
      <x:c r="I398" s="15" t="n">
        <x:v>31026</x:v>
      </x:c>
      <x:c r="J398" s="15" t="n">
        <x:v>11925.84</x:v>
      </x:c>
      <x:c r="K398" t="str">
        <x:f>XLOOKUP(B398,Orders!A:A,Orders!E:E,"")</x:f>
        <x:v>West</x:v>
      </x:c>
      <x:c r="L398" t="n">
        <x:f>XLOOKUP(B398,Orders!A:A,Orders!B:B,"")</x:f>
        <x:v>46128</x:v>
      </x:c>
      <x:c r="M398" t="str">
        <x:f>XLOOKUP(C398,Products!A:A,Products!C:C,"")</x:f>
        <x:v>Accessories</x:v>
      </x:c>
    </x:row>
    <x:row r="399">
      <x:c r="A399" s="15" t="str">
        <x:v>ITEM00172_2</x:v>
      </x:c>
      <x:c r="B399" s="15" t="str">
        <x:v>ORD00172</x:v>
      </x:c>
      <x:c r="C399" s="15" t="str">
        <x:v>PROD028</x:v>
      </x:c>
      <x:c r="D399" s="15" t="n">
        <x:v>4</x:v>
      </x:c>
      <x:c r="E399" s="15" t="n">
        <x:v>4640.74</x:v>
      </x:c>
      <x:c r="F399" s="15" t="n">
        <x:v>0.15</x:v>
      </x:c>
      <x:c r="G399" s="15" t="n">
        <x:v>18562.96</x:v>
      </x:c>
      <x:c r="H399" s="15" t="n">
        <x:v>15778.52</x:v>
      </x:c>
      <x:c r="I399" s="15" t="n">
        <x:v>14136</x:v>
      </x:c>
      <x:c r="J399" s="15" t="n">
        <x:v>1642.52</x:v>
      </x:c>
      <x:c r="K399" t="str">
        <x:f>XLOOKUP(B399,Orders!A:A,Orders!E:E,"")</x:f>
        <x:v>West</x:v>
      </x:c>
      <x:c r="L399" t="n">
        <x:f>XLOOKUP(B399,Orders!A:A,Orders!B:B,"")</x:f>
        <x:v>46128</x:v>
      </x:c>
      <x:c r="M399" t="str">
        <x:f>XLOOKUP(C399,Products!A:A,Products!C:C,"")</x:f>
        <x:v>Office Supplies</x:v>
      </x:c>
    </x:row>
    <x:row r="400">
      <x:c r="A400" s="15" t="str">
        <x:v>ITEM00172_3</x:v>
      </x:c>
      <x:c r="B400" s="15" t="str">
        <x:v>ORD00172</x:v>
      </x:c>
      <x:c r="C400" s="15" t="str">
        <x:v>PROD032</x:v>
      </x:c>
      <x:c r="D400" s="15" t="n">
        <x:v>8</x:v>
      </x:c>
      <x:c r="E400" s="15" t="n">
        <x:v>6307.06</x:v>
      </x:c>
      <x:c r="F400" s="15" t="n">
        <x:v>0</x:v>
      </x:c>
      <x:c r="G400" s="15" t="n">
        <x:v>50456.48</x:v>
      </x:c>
      <x:c r="H400" s="15" t="n">
        <x:v>50456.48</x:v>
      </x:c>
      <x:c r="I400" s="15" t="n">
        <x:v>40616</x:v>
      </x:c>
      <x:c r="J400" s="15" t="n">
        <x:v>9840.48</x:v>
      </x:c>
      <x:c r="K400" t="str">
        <x:f>XLOOKUP(B400,Orders!A:A,Orders!E:E,"")</x:f>
        <x:v>West</x:v>
      </x:c>
      <x:c r="L400" t="n">
        <x:f>XLOOKUP(B400,Orders!A:A,Orders!B:B,"")</x:f>
        <x:v>46128</x:v>
      </x:c>
      <x:c r="M400" t="str">
        <x:f>XLOOKUP(C400,Products!A:A,Products!C:C,"")</x:f>
        <x:v>Electronics</x:v>
      </x:c>
    </x:row>
    <x:row r="401">
      <x:c r="A401" s="15" t="str">
        <x:v>ITEM00172_4</x:v>
      </x:c>
      <x:c r="B401" s="15" t="str">
        <x:v>ORD00172</x:v>
      </x:c>
      <x:c r="C401" s="15" t="str">
        <x:v>PROD025</x:v>
      </x:c>
      <x:c r="D401" s="15" t="n">
        <x:v>2</x:v>
      </x:c>
      <x:c r="E401" s="15" t="n">
        <x:v>1148.84</x:v>
      </x:c>
      <x:c r="F401" s="15" t="n">
        <x:v>0</x:v>
      </x:c>
      <x:c r="G401" s="15" t="n">
        <x:v>2297.68</x:v>
      </x:c>
      <x:c r="H401" s="15" t="n">
        <x:v>2297.68</x:v>
      </x:c>
      <x:c r="I401" s="15" t="n">
        <x:v>1756</x:v>
      </x:c>
      <x:c r="J401" s="15" t="n">
        <x:v>541.68</x:v>
      </x:c>
      <x:c r="K401" t="str">
        <x:f>XLOOKUP(B401,Orders!A:A,Orders!E:E,"")</x:f>
        <x:v>West</x:v>
      </x:c>
      <x:c r="L401" t="n">
        <x:f>XLOOKUP(B401,Orders!A:A,Orders!B:B,"")</x:f>
        <x:v>46128</x:v>
      </x:c>
      <x:c r="M401" t="str">
        <x:f>XLOOKUP(C401,Products!A:A,Products!C:C,"")</x:f>
        <x:v>Furniture</x:v>
      </x:c>
    </x:row>
    <x:row r="402">
      <x:c r="A402" s="15" t="str">
        <x:v>ITEM00173_1</x:v>
      </x:c>
      <x:c r="B402" s="15" t="str">
        <x:v>ORD00173</x:v>
      </x:c>
      <x:c r="C402" s="15" t="str">
        <x:v>PROD006</x:v>
      </x:c>
      <x:c r="D402" s="15" t="n">
        <x:v>8</x:v>
      </x:c>
      <x:c r="E402" s="15" t="n">
        <x:v>4261.26</x:v>
      </x:c>
      <x:c r="F402" s="15" t="n">
        <x:v>0</x:v>
      </x:c>
      <x:c r="G402" s="15" t="n">
        <x:v>34090.08</x:v>
      </x:c>
      <x:c r="H402" s="15" t="n">
        <x:v>34090.08</x:v>
      </x:c>
      <x:c r="I402" s="15" t="n">
        <x:v>24536</x:v>
      </x:c>
      <x:c r="J402" s="15" t="n">
        <x:v>9554.08</x:v>
      </x:c>
      <x:c r="K402" t="str">
        <x:f>XLOOKUP(B402,Orders!A:A,Orders!E:E,"")</x:f>
        <x:v>East</x:v>
      </x:c>
      <x:c r="L402" t="n">
        <x:f>XLOOKUP(B402,Orders!A:A,Orders!B:B,"")</x:f>
        <x:v>46035</x:v>
      </x:c>
      <x:c r="M402" t="str">
        <x:f>XLOOKUP(C402,Products!A:A,Products!C:C,"")</x:f>
        <x:v>Office Supplies</x:v>
      </x:c>
    </x:row>
    <x:row r="403">
      <x:c r="A403" s="15" t="str">
        <x:v>ITEM00173_2</x:v>
      </x:c>
      <x:c r="B403" s="15" t="str">
        <x:v>ORD00173</x:v>
      </x:c>
      <x:c r="C403" s="15" t="str">
        <x:v>PROD040</x:v>
      </x:c>
      <x:c r="D403" s="15" t="n">
        <x:v>5</x:v>
      </x:c>
      <x:c r="E403" s="15" t="n">
        <x:v>8561.07</x:v>
      </x:c>
      <x:c r="F403" s="15" t="n">
        <x:v>0</x:v>
      </x:c>
      <x:c r="G403" s="15" t="n">
        <x:v>42805.35</x:v>
      </x:c>
      <x:c r="H403" s="15" t="n">
        <x:v>42805.35</x:v>
      </x:c>
      <x:c r="I403" s="15" t="n">
        <x:v>34205</x:v>
      </x:c>
      <x:c r="J403" s="15" t="n">
        <x:v>8600.35</x:v>
      </x:c>
      <x:c r="K403" t="str">
        <x:f>XLOOKUP(B403,Orders!A:A,Orders!E:E,"")</x:f>
        <x:v>East</x:v>
      </x:c>
      <x:c r="L403" t="n">
        <x:f>XLOOKUP(B403,Orders!A:A,Orders!B:B,"")</x:f>
        <x:v>46035</x:v>
      </x:c>
      <x:c r="M403" t="str">
        <x:f>XLOOKUP(C403,Products!A:A,Products!C:C,"")</x:f>
        <x:v>Electronics</x:v>
      </x:c>
    </x:row>
    <x:row r="404">
      <x:c r="A404" s="15" t="str">
        <x:v>ITEM00174_1</x:v>
      </x:c>
      <x:c r="B404" s="15" t="str">
        <x:v>ORD00174</x:v>
      </x:c>
      <x:c r="C404" s="15" t="str">
        <x:v>PROD005</x:v>
      </x:c>
      <x:c r="D404" s="15" t="n">
        <x:v>6</x:v>
      </x:c>
      <x:c r="E404" s="15" t="n">
        <x:v>6453.62</x:v>
      </x:c>
      <x:c r="F404" s="15" t="n">
        <x:v>0.1</x:v>
      </x:c>
      <x:c r="G404" s="15" t="n">
        <x:v>38721.72</x:v>
      </x:c>
      <x:c r="H404" s="15" t="n">
        <x:v>34849.55</x:v>
      </x:c>
      <x:c r="I404" s="15" t="n">
        <x:v>29088</x:v>
      </x:c>
      <x:c r="J404" s="15" t="n">
        <x:v>5761.55</x:v>
      </x:c>
      <x:c r="K404" t="str">
        <x:f>XLOOKUP(B404,Orders!A:A,Orders!E:E,"")</x:f>
        <x:v>South</x:v>
      </x:c>
      <x:c r="L404" t="n">
        <x:f>XLOOKUP(B404,Orders!A:A,Orders!B:B,"")</x:f>
        <x:v>46087</x:v>
      </x:c>
      <x:c r="M404" t="str">
        <x:f>XLOOKUP(C404,Products!A:A,Products!C:C,"")</x:f>
        <x:v>Office Supplies</x:v>
      </x:c>
    </x:row>
    <x:row r="405">
      <x:c r="A405" s="15" t="str">
        <x:v>ITEM00174_2</x:v>
      </x:c>
      <x:c r="B405" s="15" t="str">
        <x:v>ORD00174</x:v>
      </x:c>
      <x:c r="C405" s="15" t="str">
        <x:v>PROD025</x:v>
      </x:c>
      <x:c r="D405" s="15" t="n">
        <x:v>8</x:v>
      </x:c>
      <x:c r="E405" s="15" t="n">
        <x:v>1148.84</x:v>
      </x:c>
      <x:c r="F405" s="15" t="n">
        <x:v>0.05</x:v>
      </x:c>
      <x:c r="G405" s="15" t="n">
        <x:v>9190.72</x:v>
      </x:c>
      <x:c r="H405" s="15" t="n">
        <x:v>8731.18</x:v>
      </x:c>
      <x:c r="I405" s="15" t="n">
        <x:v>7024</x:v>
      </x:c>
      <x:c r="J405" s="15" t="n">
        <x:v>1707.18</x:v>
      </x:c>
      <x:c r="K405" t="str">
        <x:f>XLOOKUP(B405,Orders!A:A,Orders!E:E,"")</x:f>
        <x:v>South</x:v>
      </x:c>
      <x:c r="L405" t="n">
        <x:f>XLOOKUP(B405,Orders!A:A,Orders!B:B,"")</x:f>
        <x:v>46087</x:v>
      </x:c>
      <x:c r="M405" t="str">
        <x:f>XLOOKUP(C405,Products!A:A,Products!C:C,"")</x:f>
        <x:v>Furniture</x:v>
      </x:c>
    </x:row>
    <x:row r="406">
      <x:c r="A406" s="15" t="str">
        <x:v>ITEM00175_1</x:v>
      </x:c>
      <x:c r="B406" s="15" t="str">
        <x:v>ORD00175</x:v>
      </x:c>
      <x:c r="C406" s="15" t="str">
        <x:v>PROD009</x:v>
      </x:c>
      <x:c r="D406" s="15" t="n">
        <x:v>2</x:v>
      </x:c>
      <x:c r="E406" s="15" t="n">
        <x:v>4722.96</x:v>
      </x:c>
      <x:c r="F406" s="15" t="n">
        <x:v>0.05</x:v>
      </x:c>
      <x:c r="G406" s="15" t="n">
        <x:v>9445.92</x:v>
      </x:c>
      <x:c r="H406" s="15" t="n">
        <x:v>8973.62</x:v>
      </x:c>
      <x:c r="I406" s="15" t="n">
        <x:v>6426</x:v>
      </x:c>
      <x:c r="J406" s="15" t="n">
        <x:v>2547.62</x:v>
      </x:c>
      <x:c r="K406" t="str">
        <x:f>XLOOKUP(B406,Orders!A:A,Orders!E:E,"")</x:f>
        <x:v>West</x:v>
      </x:c>
      <x:c r="L406" t="n">
        <x:f>XLOOKUP(B406,Orders!A:A,Orders!B:B,"")</x:f>
        <x:v>45735</x:v>
      </x:c>
      <x:c r="M406" t="str">
        <x:f>XLOOKUP(C406,Products!A:A,Products!C:C,"")</x:f>
        <x:v>Accessories</x:v>
      </x:c>
    </x:row>
    <x:row r="407">
      <x:c r="A407" s="15" t="str">
        <x:v>ITEM00175_2</x:v>
      </x:c>
      <x:c r="B407" s="15" t="str">
        <x:v>ORD00175</x:v>
      </x:c>
      <x:c r="C407" s="15" t="str">
        <x:v>PROD012</x:v>
      </x:c>
      <x:c r="D407" s="15" t="n">
        <x:v>4</x:v>
      </x:c>
      <x:c r="E407" s="15" t="n">
        <x:v>7989.38</x:v>
      </x:c>
      <x:c r="F407" s="15" t="n">
        <x:v>0</x:v>
      </x:c>
      <x:c r="G407" s="15" t="n">
        <x:v>31957.52</x:v>
      </x:c>
      <x:c r="H407" s="15" t="n">
        <x:v>31957.52</x:v>
      </x:c>
      <x:c r="I407" s="15" t="n">
        <x:v>25940</x:v>
      </x:c>
      <x:c r="J407" s="15" t="n">
        <x:v>6017.52</x:v>
      </x:c>
      <x:c r="K407" t="str">
        <x:f>XLOOKUP(B407,Orders!A:A,Orders!E:E,"")</x:f>
        <x:v>West</x:v>
      </x:c>
      <x:c r="L407" t="n">
        <x:f>XLOOKUP(B407,Orders!A:A,Orders!B:B,"")</x:f>
        <x:v>45735</x:v>
      </x:c>
      <x:c r="M407" t="str">
        <x:f>XLOOKUP(C407,Products!A:A,Products!C:C,"")</x:f>
        <x:v>Electronics</x:v>
      </x:c>
    </x:row>
    <x:row r="408">
      <x:c r="A408" s="15" t="str">
        <x:v>ITEM00175_3</x:v>
      </x:c>
      <x:c r="B408" s="15" t="str">
        <x:v>ORD00175</x:v>
      </x:c>
      <x:c r="C408" s="15" t="str">
        <x:v>PROD012</x:v>
      </x:c>
      <x:c r="D408" s="15" t="n">
        <x:v>4</x:v>
      </x:c>
      <x:c r="E408" s="15" t="n">
        <x:v>7989.38</x:v>
      </x:c>
      <x:c r="F408" s="15" t="n">
        <x:v>0</x:v>
      </x:c>
      <x:c r="G408" s="15" t="n">
        <x:v>31957.52</x:v>
      </x:c>
      <x:c r="H408" s="15" t="n">
        <x:v>31957.52</x:v>
      </x:c>
      <x:c r="I408" s="15" t="n">
        <x:v>25940</x:v>
      </x:c>
      <x:c r="J408" s="15" t="n">
        <x:v>6017.52</x:v>
      </x:c>
      <x:c r="K408" t="str">
        <x:f>XLOOKUP(B408,Orders!A:A,Orders!E:E,"")</x:f>
        <x:v>West</x:v>
      </x:c>
      <x:c r="L408" t="n">
        <x:f>XLOOKUP(B408,Orders!A:A,Orders!B:B,"")</x:f>
        <x:v>45735</x:v>
      </x:c>
      <x:c r="M408" t="str">
        <x:f>XLOOKUP(C408,Products!A:A,Products!C:C,"")</x:f>
        <x:v>Electronics</x:v>
      </x:c>
    </x:row>
    <x:row r="409">
      <x:c r="A409" s="15" t="str">
        <x:v>ITEM00175_4</x:v>
      </x:c>
      <x:c r="B409" s="15" t="str">
        <x:v>ORD00175</x:v>
      </x:c>
      <x:c r="C409" s="15" t="str">
        <x:v>PROD028</x:v>
      </x:c>
      <x:c r="D409" s="15" t="n">
        <x:v>6</x:v>
      </x:c>
      <x:c r="E409" s="15" t="n">
        <x:v>4640.74</x:v>
      </x:c>
      <x:c r="F409" s="15" t="n">
        <x:v>0</x:v>
      </x:c>
      <x:c r="G409" s="15" t="n">
        <x:v>27844.44</x:v>
      </x:c>
      <x:c r="H409" s="15" t="n">
        <x:v>27844.44</x:v>
      </x:c>
      <x:c r="I409" s="15" t="n">
        <x:v>21204</x:v>
      </x:c>
      <x:c r="J409" s="15" t="n">
        <x:v>6640.44</x:v>
      </x:c>
      <x:c r="K409" t="str">
        <x:f>XLOOKUP(B409,Orders!A:A,Orders!E:E,"")</x:f>
        <x:v>West</x:v>
      </x:c>
      <x:c r="L409" t="n">
        <x:f>XLOOKUP(B409,Orders!A:A,Orders!B:B,"")</x:f>
        <x:v>45735</x:v>
      </x:c>
      <x:c r="M409" t="str">
        <x:f>XLOOKUP(C409,Products!A:A,Products!C:C,"")</x:f>
        <x:v>Office Supplies</x:v>
      </x:c>
    </x:row>
    <x:row r="410">
      <x:c r="A410" s="15" t="str">
        <x:v>ITEM00176_1</x:v>
      </x:c>
      <x:c r="B410" s="15" t="str">
        <x:v>ORD00176</x:v>
      </x:c>
      <x:c r="C410" s="15" t="str">
        <x:v>PROD040</x:v>
      </x:c>
      <x:c r="D410" s="15" t="n">
        <x:v>5</x:v>
      </x:c>
      <x:c r="E410" s="15" t="n">
        <x:v>8561.07</x:v>
      </x:c>
      <x:c r="F410" s="15" t="n">
        <x:v>0</x:v>
      </x:c>
      <x:c r="G410" s="15" t="n">
        <x:v>42805.35</x:v>
      </x:c>
      <x:c r="H410" s="15" t="n">
        <x:v>42805.35</x:v>
      </x:c>
      <x:c r="I410" s="15" t="n">
        <x:v>34205</x:v>
      </x:c>
      <x:c r="J410" s="15" t="n">
        <x:v>8600.35</x:v>
      </x:c>
      <x:c r="K410" t="str">
        <x:f>XLOOKUP(B410,Orders!A:A,Orders!E:E,"")</x:f>
        <x:v>West</x:v>
      </x:c>
      <x:c r="L410" t="n">
        <x:f>XLOOKUP(B410,Orders!A:A,Orders!B:B,"")</x:f>
        <x:v>46042</x:v>
      </x:c>
      <x:c r="M410" t="str">
        <x:f>XLOOKUP(C410,Products!A:A,Products!C:C,"")</x:f>
        <x:v>Electronics</x:v>
      </x:c>
    </x:row>
    <x:row r="411">
      <x:c r="A411" s="15" t="str">
        <x:v>ITEM00176_2</x:v>
      </x:c>
      <x:c r="B411" s="15" t="str">
        <x:v>ORD00176</x:v>
      </x:c>
      <x:c r="C411" s="15" t="str">
        <x:v>PROD024</x:v>
      </x:c>
      <x:c r="D411" s="15" t="n">
        <x:v>2</x:v>
      </x:c>
      <x:c r="E411" s="15" t="n">
        <x:v>4018</x:v>
      </x:c>
      <x:c r="F411" s="15" t="n">
        <x:v>0.1</x:v>
      </x:c>
      <x:c r="G411" s="15" t="n">
        <x:v>8036</x:v>
      </x:c>
      <x:c r="H411" s="15" t="n">
        <x:v>7232.4</x:v>
      </x:c>
      <x:c r="I411" s="15" t="n">
        <x:v>6384</x:v>
      </x:c>
      <x:c r="J411" s="15" t="n">
        <x:v>848.4</x:v>
      </x:c>
      <x:c r="K411" t="str">
        <x:f>XLOOKUP(B411,Orders!A:A,Orders!E:E,"")</x:f>
        <x:v>West</x:v>
      </x:c>
      <x:c r="L411" t="n">
        <x:f>XLOOKUP(B411,Orders!A:A,Orders!B:B,"")</x:f>
        <x:v>46042</x:v>
      </x:c>
      <x:c r="M411" t="str">
        <x:f>XLOOKUP(C411,Products!A:A,Products!C:C,"")</x:f>
        <x:v>Furniture</x:v>
      </x:c>
    </x:row>
    <x:row r="412">
      <x:c r="A412" s="15" t="str">
        <x:v>ITEM00176_3</x:v>
      </x:c>
      <x:c r="B412" s="15" t="str">
        <x:v>ORD00176</x:v>
      </x:c>
      <x:c r="C412" s="15" t="str">
        <x:v>PROD019</x:v>
      </x:c>
      <x:c r="D412" s="15" t="n">
        <x:v>4</x:v>
      </x:c>
      <x:c r="E412" s="15" t="n">
        <x:v>5996.29</x:v>
      </x:c>
      <x:c r="F412" s="15" t="n">
        <x:v>0.15</x:v>
      </x:c>
      <x:c r="G412" s="15" t="n">
        <x:v>23985.16</x:v>
      </x:c>
      <x:c r="H412" s="15" t="n">
        <x:v>20387.39</x:v>
      </x:c>
      <x:c r="I412" s="15" t="n">
        <x:v>18040</x:v>
      </x:c>
      <x:c r="J412" s="15" t="n">
        <x:v>2347.39</x:v>
      </x:c>
      <x:c r="K412" t="str">
        <x:f>XLOOKUP(B412,Orders!A:A,Orders!E:E,"")</x:f>
        <x:v>West</x:v>
      </x:c>
      <x:c r="L412" t="n">
        <x:f>XLOOKUP(B412,Orders!A:A,Orders!B:B,"")</x:f>
        <x:v>46042</x:v>
      </x:c>
      <x:c r="M412" t="str">
        <x:f>XLOOKUP(C412,Products!A:A,Products!C:C,"")</x:f>
        <x:v>Electronics</x:v>
      </x:c>
    </x:row>
    <x:row r="413">
      <x:c r="A413" s="15" t="str">
        <x:v>ITEM00177_1</x:v>
      </x:c>
      <x:c r="B413" s="15" t="str">
        <x:v>ORD00177</x:v>
      </x:c>
      <x:c r="C413" s="15" t="str">
        <x:v>PROD024</x:v>
      </x:c>
      <x:c r="D413" s="15" t="n">
        <x:v>1</x:v>
      </x:c>
      <x:c r="E413" s="15" t="n">
        <x:v>4018</x:v>
      </x:c>
      <x:c r="F413" s="15" t="n">
        <x:v>0</x:v>
      </x:c>
      <x:c r="G413" s="15" t="n">
        <x:v>4018</x:v>
      </x:c>
      <x:c r="H413" s="15" t="n">
        <x:v>4018</x:v>
      </x:c>
      <x:c r="I413" s="15" t="n">
        <x:v>3192</x:v>
      </x:c>
      <x:c r="J413" s="15" t="n">
        <x:v>826</x:v>
      </x:c>
      <x:c r="K413" t="str">
        <x:f>XLOOKUP(B413,Orders!A:A,Orders!E:E,"")</x:f>
        <x:v>East</x:v>
      </x:c>
      <x:c r="L413" t="n">
        <x:f>XLOOKUP(B413,Orders!A:A,Orders!B:B,"")</x:f>
        <x:v>45998</x:v>
      </x:c>
      <x:c r="M413" t="str">
        <x:f>XLOOKUP(C413,Products!A:A,Products!C:C,"")</x:f>
        <x:v>Furniture</x:v>
      </x:c>
    </x:row>
    <x:row r="414">
      <x:c r="A414" s="15" t="str">
        <x:v>ITEM00177_2</x:v>
      </x:c>
      <x:c r="B414" s="15" t="str">
        <x:v>ORD00177</x:v>
      </x:c>
      <x:c r="C414" s="15" t="str">
        <x:v>PROD037</x:v>
      </x:c>
      <x:c r="D414" s="15" t="n">
        <x:v>7</x:v>
      </x:c>
      <x:c r="E414" s="15" t="n">
        <x:v>9876.8</x:v>
      </x:c>
      <x:c r="F414" s="15" t="n">
        <x:v>0</x:v>
      </x:c>
      <x:c r="G414" s="15" t="n">
        <x:v>69137.6</x:v>
      </x:c>
      <x:c r="H414" s="15" t="n">
        <x:v>69137.6</x:v>
      </x:c>
      <x:c r="I414" s="15" t="n">
        <x:v>49868</x:v>
      </x:c>
      <x:c r="J414" s="15" t="n">
        <x:v>19269.6</x:v>
      </x:c>
      <x:c r="K414" t="str">
        <x:f>XLOOKUP(B414,Orders!A:A,Orders!E:E,"")</x:f>
        <x:v>East</x:v>
      </x:c>
      <x:c r="L414" t="n">
        <x:f>XLOOKUP(B414,Orders!A:A,Orders!B:B,"")</x:f>
        <x:v>45998</x:v>
      </x:c>
      <x:c r="M414" t="str">
        <x:f>XLOOKUP(C414,Products!A:A,Products!C:C,"")</x:f>
        <x:v>Accessories</x:v>
      </x:c>
    </x:row>
    <x:row r="415">
      <x:c r="A415" s="15" t="str">
        <x:v>ITEM00177_3</x:v>
      </x:c>
      <x:c r="B415" s="15" t="str">
        <x:v>ORD00177</x:v>
      </x:c>
      <x:c r="C415" s="15" t="str">
        <x:v>PROD026</x:v>
      </x:c>
      <x:c r="D415" s="15" t="n">
        <x:v>6</x:v>
      </x:c>
      <x:c r="E415" s="15" t="n">
        <x:v>3848.69</x:v>
      </x:c>
      <x:c r="F415" s="15" t="n">
        <x:v>0</x:v>
      </x:c>
      <x:c r="G415" s="15" t="n">
        <x:v>23092.14</x:v>
      </x:c>
      <x:c r="H415" s="15" t="n">
        <x:v>23092.14</x:v>
      </x:c>
      <x:c r="I415" s="15" t="n">
        <x:v>15804</x:v>
      </x:c>
      <x:c r="J415" s="15" t="n">
        <x:v>7288.14</x:v>
      </x:c>
      <x:c r="K415" t="str">
        <x:f>XLOOKUP(B415,Orders!A:A,Orders!E:E,"")</x:f>
        <x:v>East</x:v>
      </x:c>
      <x:c r="L415" t="n">
        <x:f>XLOOKUP(B415,Orders!A:A,Orders!B:B,"")</x:f>
        <x:v>45998</x:v>
      </x:c>
      <x:c r="M415" t="str">
        <x:f>XLOOKUP(C415,Products!A:A,Products!C:C,"")</x:f>
        <x:v>Accessories</x:v>
      </x:c>
    </x:row>
    <x:row r="416">
      <x:c r="A416" s="15" t="str">
        <x:v>ITEM00177_4</x:v>
      </x:c>
      <x:c r="B416" s="15" t="str">
        <x:v>ORD00177</x:v>
      </x:c>
      <x:c r="C416" s="15" t="str">
        <x:v>PROD034</x:v>
      </x:c>
      <x:c r="D416" s="15" t="n">
        <x:v>2</x:v>
      </x:c>
      <x:c r="E416" s="15" t="n">
        <x:v>5451.76</x:v>
      </x:c>
      <x:c r="F416" s="15" t="n">
        <x:v>0</x:v>
      </x:c>
      <x:c r="G416" s="15" t="n">
        <x:v>10903.52</x:v>
      </x:c>
      <x:c r="H416" s="15" t="n">
        <x:v>10903.52</x:v>
      </x:c>
      <x:c r="I416" s="15" t="n">
        <x:v>7552</x:v>
      </x:c>
      <x:c r="J416" s="15" t="n">
        <x:v>3351.52</x:v>
      </x:c>
      <x:c r="K416" t="str">
        <x:f>XLOOKUP(B416,Orders!A:A,Orders!E:E,"")</x:f>
        <x:v>East</x:v>
      </x:c>
      <x:c r="L416" t="n">
        <x:f>XLOOKUP(B416,Orders!A:A,Orders!B:B,"")</x:f>
        <x:v>45998</x:v>
      </x:c>
      <x:c r="M416" t="str">
        <x:f>XLOOKUP(C416,Products!A:A,Products!C:C,"")</x:f>
        <x:v>Accessories</x:v>
      </x:c>
    </x:row>
    <x:row r="417">
      <x:c r="A417" s="15" t="str">
        <x:v>ITEM00178_1</x:v>
      </x:c>
      <x:c r="B417" s="15" t="str">
        <x:v>ORD00178</x:v>
      </x:c>
      <x:c r="C417" s="15" t="str">
        <x:v>PROD003</x:v>
      </x:c>
      <x:c r="D417" s="15" t="n">
        <x:v>1</x:v>
      </x:c>
      <x:c r="E417" s="15" t="n">
        <x:v>10757.89</x:v>
      </x:c>
      <x:c r="F417" s="15" t="n">
        <x:v>0</x:v>
      </x:c>
      <x:c r="G417" s="15" t="n">
        <x:v>10757.89</x:v>
      </x:c>
      <x:c r="H417" s="15" t="n">
        <x:v>10757.89</x:v>
      </x:c>
      <x:c r="I417" s="15" t="n">
        <x:v>7421</x:v>
      </x:c>
      <x:c r="J417" s="15" t="n">
        <x:v>3336.89</x:v>
      </x:c>
      <x:c r="K417" t="str">
        <x:f>XLOOKUP(B417,Orders!A:A,Orders!E:E,"")</x:f>
        <x:v>West</x:v>
      </x:c>
      <x:c r="L417" t="n">
        <x:f>XLOOKUP(B417,Orders!A:A,Orders!B:B,"")</x:f>
        <x:v>45704</x:v>
      </x:c>
      <x:c r="M417" t="str">
        <x:f>XLOOKUP(C417,Products!A:A,Products!C:C,"")</x:f>
        <x:v>Accessories</x:v>
      </x:c>
    </x:row>
    <x:row r="418">
      <x:c r="A418" s="15" t="str">
        <x:v>ITEM00178_2</x:v>
      </x:c>
      <x:c r="B418" s="15" t="str">
        <x:v>ORD00178</x:v>
      </x:c>
      <x:c r="C418" s="15" t="str">
        <x:v>PROD009</x:v>
      </x:c>
      <x:c r="D418" s="15" t="n">
        <x:v>5</x:v>
      </x:c>
      <x:c r="E418" s="15" t="n">
        <x:v>4722.96</x:v>
      </x:c>
      <x:c r="F418" s="15" t="n">
        <x:v>0</x:v>
      </x:c>
      <x:c r="G418" s="15" t="n">
        <x:v>23614.8</x:v>
      </x:c>
      <x:c r="H418" s="15" t="n">
        <x:v>23614.8</x:v>
      </x:c>
      <x:c r="I418" s="15" t="n">
        <x:v>16065</x:v>
      </x:c>
      <x:c r="J418" s="15" t="n">
        <x:v>7549.8</x:v>
      </x:c>
      <x:c r="K418" t="str">
        <x:f>XLOOKUP(B418,Orders!A:A,Orders!E:E,"")</x:f>
        <x:v>West</x:v>
      </x:c>
      <x:c r="L418" t="n">
        <x:f>XLOOKUP(B418,Orders!A:A,Orders!B:B,"")</x:f>
        <x:v>45704</x:v>
      </x:c>
      <x:c r="M418" t="str">
        <x:f>XLOOKUP(C418,Products!A:A,Products!C:C,"")</x:f>
        <x:v>Accessories</x:v>
      </x:c>
    </x:row>
    <x:row r="419">
      <x:c r="A419" s="15" t="str">
        <x:v>ITEM00178_3</x:v>
      </x:c>
      <x:c r="B419" s="15" t="str">
        <x:v>ORD00178</x:v>
      </x:c>
      <x:c r="C419" s="15" t="str">
        <x:v>PROD032</x:v>
      </x:c>
      <x:c r="D419" s="15" t="n">
        <x:v>1</x:v>
      </x:c>
      <x:c r="E419" s="15" t="n">
        <x:v>6307.06</x:v>
      </x:c>
      <x:c r="F419" s="15" t="n">
        <x:v>0</x:v>
      </x:c>
      <x:c r="G419" s="15" t="n">
        <x:v>6307.06</x:v>
      </x:c>
      <x:c r="H419" s="15" t="n">
        <x:v>6307.06</x:v>
      </x:c>
      <x:c r="I419" s="15" t="n">
        <x:v>5077</x:v>
      </x:c>
      <x:c r="J419" s="15" t="n">
        <x:v>1230.06</x:v>
      </x:c>
      <x:c r="K419" t="str">
        <x:f>XLOOKUP(B419,Orders!A:A,Orders!E:E,"")</x:f>
        <x:v>West</x:v>
      </x:c>
      <x:c r="L419" t="n">
        <x:f>XLOOKUP(B419,Orders!A:A,Orders!B:B,"")</x:f>
        <x:v>45704</x:v>
      </x:c>
      <x:c r="M419" t="str">
        <x:f>XLOOKUP(C419,Products!A:A,Products!C:C,"")</x:f>
        <x:v>Electronics</x:v>
      </x:c>
    </x:row>
    <x:row r="420">
      <x:c r="A420" s="15" t="str">
        <x:v>ITEM00179_1</x:v>
      </x:c>
      <x:c r="B420" s="15" t="str">
        <x:v>ORD00179</x:v>
      </x:c>
      <x:c r="C420" s="15" t="str">
        <x:v>PROD022</x:v>
      </x:c>
      <x:c r="D420" s="15" t="n">
        <x:v>6</x:v>
      </x:c>
      <x:c r="E420" s="15" t="n">
        <x:v>7775.36</x:v>
      </x:c>
      <x:c r="F420" s="15" t="n">
        <x:v>0.05</x:v>
      </x:c>
      <x:c r="G420" s="15" t="n">
        <x:v>46652.16</x:v>
      </x:c>
      <x:c r="H420" s="15" t="n">
        <x:v>44319.55</x:v>
      </x:c>
      <x:c r="I420" s="15" t="n">
        <x:v>37986</x:v>
      </x:c>
      <x:c r="J420" s="15" t="n">
        <x:v>6333.55</x:v>
      </x:c>
      <x:c r="K420" t="str">
        <x:f>XLOOKUP(B420,Orders!A:A,Orders!E:E,"")</x:f>
        <x:v>North</x:v>
      </x:c>
      <x:c r="L420" t="n">
        <x:f>XLOOKUP(B420,Orders!A:A,Orders!B:B,"")</x:f>
        <x:v>45679</x:v>
      </x:c>
      <x:c r="M420" t="str">
        <x:f>XLOOKUP(C420,Products!A:A,Products!C:C,"")</x:f>
        <x:v>Furniture</x:v>
      </x:c>
    </x:row>
    <x:row r="421">
      <x:c r="A421" s="15" t="str">
        <x:v>ITEM00180_1</x:v>
      </x:c>
      <x:c r="B421" s="15" t="str">
        <x:v>ORD00180</x:v>
      </x:c>
      <x:c r="C421" s="15" t="str">
        <x:v>PROD016</x:v>
      </x:c>
      <x:c r="D421" s="15" t="n">
        <x:v>4</x:v>
      </x:c>
      <x:c r="E421" s="15" t="n">
        <x:v>3884.33</x:v>
      </x:c>
      <x:c r="F421" s="15" t="n">
        <x:v>0</x:v>
      </x:c>
      <x:c r="G421" s="15" t="n">
        <x:v>15537.32</x:v>
      </x:c>
      <x:c r="H421" s="15" t="n">
        <x:v>15537.32</x:v>
      </x:c>
      <x:c r="I421" s="15" t="n">
        <x:v>12188</x:v>
      </x:c>
      <x:c r="J421" s="15" t="n">
        <x:v>3349.32</x:v>
      </x:c>
      <x:c r="K421" t="str">
        <x:f>XLOOKUP(B421,Orders!A:A,Orders!E:E,"")</x:f>
        <x:v>South</x:v>
      </x:c>
      <x:c r="L421" t="n">
        <x:f>XLOOKUP(B421,Orders!A:A,Orders!B:B,"")</x:f>
        <x:v>45824</x:v>
      </x:c>
      <x:c r="M421" t="str">
        <x:f>XLOOKUP(C421,Products!A:A,Products!C:C,"")</x:f>
        <x:v>Electronics</x:v>
      </x:c>
    </x:row>
    <x:row r="422">
      <x:c r="A422" s="15" t="str">
        <x:v>ITEM00180_2</x:v>
      </x:c>
      <x:c r="B422" s="15" t="str">
        <x:v>ORD00180</x:v>
      </x:c>
      <x:c r="C422" s="15" t="str">
        <x:v>PROD009</x:v>
      </x:c>
      <x:c r="D422" s="15" t="n">
        <x:v>8</x:v>
      </x:c>
      <x:c r="E422" s="15" t="n">
        <x:v>4722.96</x:v>
      </x:c>
      <x:c r="F422" s="15" t="n">
        <x:v>0.15</x:v>
      </x:c>
      <x:c r="G422" s="15" t="n">
        <x:v>37783.68</x:v>
      </x:c>
      <x:c r="H422" s="15" t="n">
        <x:v>32116.13</x:v>
      </x:c>
      <x:c r="I422" s="15" t="n">
        <x:v>25704</x:v>
      </x:c>
      <x:c r="J422" s="15" t="n">
        <x:v>6412.13</x:v>
      </x:c>
      <x:c r="K422" t="str">
        <x:f>XLOOKUP(B422,Orders!A:A,Orders!E:E,"")</x:f>
        <x:v>South</x:v>
      </x:c>
      <x:c r="L422" t="n">
        <x:f>XLOOKUP(B422,Orders!A:A,Orders!B:B,"")</x:f>
        <x:v>45824</x:v>
      </x:c>
      <x:c r="M422" t="str">
        <x:f>XLOOKUP(C422,Products!A:A,Products!C:C,"")</x:f>
        <x:v>Accessories</x:v>
      </x:c>
    </x:row>
    <x:row r="423">
      <x:c r="A423" s="15" t="str">
        <x:v>ITEM00180_3</x:v>
      </x:c>
      <x:c r="B423" s="15" t="str">
        <x:v>ORD00180</x:v>
      </x:c>
      <x:c r="C423" s="15" t="str">
        <x:v>PROD026</x:v>
      </x:c>
      <x:c r="D423" s="15" t="n">
        <x:v>7</x:v>
      </x:c>
      <x:c r="E423" s="15" t="n">
        <x:v>3848.69</x:v>
      </x:c>
      <x:c r="F423" s="15" t="n">
        <x:v>0</x:v>
      </x:c>
      <x:c r="G423" s="15" t="n">
        <x:v>26940.83</x:v>
      </x:c>
      <x:c r="H423" s="15" t="n">
        <x:v>26940.83</x:v>
      </x:c>
      <x:c r="I423" s="15" t="n">
        <x:v>18438</x:v>
      </x:c>
      <x:c r="J423" s="15" t="n">
        <x:v>8502.83</x:v>
      </x:c>
      <x:c r="K423" t="str">
        <x:f>XLOOKUP(B423,Orders!A:A,Orders!E:E,"")</x:f>
        <x:v>South</x:v>
      </x:c>
      <x:c r="L423" t="n">
        <x:f>XLOOKUP(B423,Orders!A:A,Orders!B:B,"")</x:f>
        <x:v>45824</x:v>
      </x:c>
      <x:c r="M423" t="str">
        <x:f>XLOOKUP(C423,Products!A:A,Products!C:C,"")</x:f>
        <x:v>Accessories</x:v>
      </x:c>
    </x:row>
    <x:row r="424">
      <x:c r="A424" s="15" t="str">
        <x:v>ITEM00180_4</x:v>
      </x:c>
      <x:c r="B424" s="15" t="str">
        <x:v>ORD00180</x:v>
      </x:c>
      <x:c r="C424" s="15" t="str">
        <x:v>PROD014</x:v>
      </x:c>
      <x:c r="D424" s="15" t="n">
        <x:v>1</x:v>
      </x:c>
      <x:c r="E424" s="15" t="n">
        <x:v>1611.65</x:v>
      </x:c>
      <x:c r="F424" s="15" t="n">
        <x:v>0</x:v>
      </x:c>
      <x:c r="G424" s="15" t="n">
        <x:v>1611.65</x:v>
      </x:c>
      <x:c r="H424" s="15" t="n">
        <x:v>1611.65</x:v>
      </x:c>
      <x:c r="I424" s="15" t="n">
        <x:v>1233</x:v>
      </x:c>
      <x:c r="J424" s="15" t="n">
        <x:v>378.65</x:v>
      </x:c>
      <x:c r="K424" t="str">
        <x:f>XLOOKUP(B424,Orders!A:A,Orders!E:E,"")</x:f>
        <x:v>South</x:v>
      </x:c>
      <x:c r="L424" t="n">
        <x:f>XLOOKUP(B424,Orders!A:A,Orders!B:B,"")</x:f>
        <x:v>45824</x:v>
      </x:c>
      <x:c r="M424" t="str">
        <x:f>XLOOKUP(C424,Products!A:A,Products!C:C,"")</x:f>
        <x:v>Office Supplies</x:v>
      </x:c>
    </x:row>
    <x:row r="425">
      <x:c r="A425" s="15" t="str">
        <x:v>ITEM00181_1</x:v>
      </x:c>
      <x:c r="B425" s="15" t="str">
        <x:v>ORD00181</x:v>
      </x:c>
      <x:c r="C425" s="15" t="str">
        <x:v>PROD037</x:v>
      </x:c>
      <x:c r="D425" s="15" t="n">
        <x:v>3</x:v>
      </x:c>
      <x:c r="E425" s="15" t="n">
        <x:v>9876.8</x:v>
      </x:c>
      <x:c r="F425" s="15" t="n">
        <x:v>0.15</x:v>
      </x:c>
      <x:c r="G425" s="15" t="n">
        <x:v>29630.4</x:v>
      </x:c>
      <x:c r="H425" s="15" t="n">
        <x:v>25185.84</x:v>
      </x:c>
      <x:c r="I425" s="15" t="n">
        <x:v>21372</x:v>
      </x:c>
      <x:c r="J425" s="15" t="n">
        <x:v>3813.84</x:v>
      </x:c>
      <x:c r="K425" t="str">
        <x:f>XLOOKUP(B425,Orders!A:A,Orders!E:E,"")</x:f>
        <x:v>South</x:v>
      </x:c>
      <x:c r="L425" t="n">
        <x:f>XLOOKUP(B425,Orders!A:A,Orders!B:B,"")</x:f>
        <x:v>45689</x:v>
      </x:c>
      <x:c r="M425" t="str">
        <x:f>XLOOKUP(C425,Products!A:A,Products!C:C,"")</x:f>
        <x:v>Accessories</x:v>
      </x:c>
    </x:row>
    <x:row r="426">
      <x:c r="A426" s="15" t="str">
        <x:v>ITEM00182_1</x:v>
      </x:c>
      <x:c r="B426" s="15" t="str">
        <x:v>ORD00182</x:v>
      </x:c>
      <x:c r="C426" s="15" t="str">
        <x:v>PROD019</x:v>
      </x:c>
      <x:c r="D426" s="15" t="n">
        <x:v>5</x:v>
      </x:c>
      <x:c r="E426" s="15" t="n">
        <x:v>5996.29</x:v>
      </x:c>
      <x:c r="F426" s="15" t="n">
        <x:v>0.15</x:v>
      </x:c>
      <x:c r="G426" s="15" t="n">
        <x:v>29981.45</x:v>
      </x:c>
      <x:c r="H426" s="15" t="n">
        <x:v>25484.23</x:v>
      </x:c>
      <x:c r="I426" s="15" t="n">
        <x:v>22550</x:v>
      </x:c>
      <x:c r="J426" s="15" t="n">
        <x:v>2934.23</x:v>
      </x:c>
      <x:c r="K426" t="str">
        <x:f>XLOOKUP(B426,Orders!A:A,Orders!E:E,"")</x:f>
        <x:v>East</x:v>
      </x:c>
      <x:c r="L426" t="n">
        <x:f>XLOOKUP(B426,Orders!A:A,Orders!B:B,"")</x:f>
        <x:v>46188</x:v>
      </x:c>
      <x:c r="M426" t="str">
        <x:f>XLOOKUP(C426,Products!A:A,Products!C:C,"")</x:f>
        <x:v>Electronics</x:v>
      </x:c>
    </x:row>
    <x:row r="427">
      <x:c r="A427" s="15" t="str">
        <x:v>ITEM00183_1</x:v>
      </x:c>
      <x:c r="B427" s="15" t="str">
        <x:v>ORD00183</x:v>
      </x:c>
      <x:c r="C427" s="15" t="str">
        <x:v>PROD028</x:v>
      </x:c>
      <x:c r="D427" s="15" t="n">
        <x:v>2</x:v>
      </x:c>
      <x:c r="E427" s="15" t="n">
        <x:v>4640.74</x:v>
      </x:c>
      <x:c r="F427" s="15" t="n">
        <x:v>0.05</x:v>
      </x:c>
      <x:c r="G427" s="15" t="n">
        <x:v>9281.48</x:v>
      </x:c>
      <x:c r="H427" s="15" t="n">
        <x:v>8817.41</x:v>
      </x:c>
      <x:c r="I427" s="15" t="n">
        <x:v>7068</x:v>
      </x:c>
      <x:c r="J427" s="15" t="n">
        <x:v>1749.41</x:v>
      </x:c>
      <x:c r="K427" t="str">
        <x:f>XLOOKUP(B427,Orders!A:A,Orders!E:E,"")</x:f>
        <x:v>South</x:v>
      </x:c>
      <x:c r="L427" t="n">
        <x:f>XLOOKUP(B427,Orders!A:A,Orders!B:B,"")</x:f>
        <x:v>46085</x:v>
      </x:c>
      <x:c r="M427" t="str">
        <x:f>XLOOKUP(C427,Products!A:A,Products!C:C,"")</x:f>
        <x:v>Office Supplies</x:v>
      </x:c>
    </x:row>
    <x:row r="428">
      <x:c r="A428" s="15" t="str">
        <x:v>ITEM00183_2</x:v>
      </x:c>
      <x:c r="B428" s="15" t="str">
        <x:v>ORD00183</x:v>
      </x:c>
      <x:c r="C428" s="15" t="str">
        <x:v>PROD004</x:v>
      </x:c>
      <x:c r="D428" s="15" t="n">
        <x:v>1</x:v>
      </x:c>
      <x:c r="E428" s="15" t="n">
        <x:v>5435.39</x:v>
      </x:c>
      <x:c r="F428" s="15" t="n">
        <x:v>0.15</x:v>
      </x:c>
      <x:c r="G428" s="15" t="n">
        <x:v>5435.39</x:v>
      </x:c>
      <x:c r="H428" s="15" t="n">
        <x:v>4620.08</x:v>
      </x:c>
      <x:c r="I428" s="15" t="n">
        <x:v>4141</x:v>
      </x:c>
      <x:c r="J428" s="15" t="n">
        <x:v>479.08</x:v>
      </x:c>
      <x:c r="K428" t="str">
        <x:f>XLOOKUP(B428,Orders!A:A,Orders!E:E,"")</x:f>
        <x:v>South</x:v>
      </x:c>
      <x:c r="L428" t="n">
        <x:f>XLOOKUP(B428,Orders!A:A,Orders!B:B,"")</x:f>
        <x:v>46085</x:v>
      </x:c>
      <x:c r="M428" t="str">
        <x:f>XLOOKUP(C428,Products!A:A,Products!C:C,"")</x:f>
        <x:v>Office Supplies</x:v>
      </x:c>
    </x:row>
    <x:row r="429">
      <x:c r="A429" s="15" t="str">
        <x:v>ITEM00184_1</x:v>
      </x:c>
      <x:c r="B429" s="15" t="str">
        <x:v>ORD00184</x:v>
      </x:c>
      <x:c r="C429" s="15" t="str">
        <x:v>PROD010</x:v>
      </x:c>
      <x:c r="D429" s="15" t="n">
        <x:v>1</x:v>
      </x:c>
      <x:c r="E429" s="15" t="n">
        <x:v>8670.63</x:v>
      </x:c>
      <x:c r="F429" s="15" t="n">
        <x:v>0</x:v>
      </x:c>
      <x:c r="G429" s="15" t="n">
        <x:v>8670.63</x:v>
      </x:c>
      <x:c r="H429" s="15" t="n">
        <x:v>8670.63</x:v>
      </x:c>
      <x:c r="I429" s="15" t="n">
        <x:v>5853</x:v>
      </x:c>
      <x:c r="J429" s="15" t="n">
        <x:v>2817.63</x:v>
      </x:c>
      <x:c r="K429" t="str">
        <x:f>XLOOKUP(B429,Orders!A:A,Orders!E:E,"")</x:f>
        <x:v>South</x:v>
      </x:c>
      <x:c r="L429" t="n">
        <x:f>XLOOKUP(B429,Orders!A:A,Orders!B:B,"")</x:f>
        <x:v>45882</x:v>
      </x:c>
      <x:c r="M429" t="str">
        <x:f>XLOOKUP(C429,Products!A:A,Products!C:C,"")</x:f>
        <x:v>Accessories</x:v>
      </x:c>
    </x:row>
    <x:row r="430">
      <x:c r="A430" s="15" t="str">
        <x:v>ITEM00185_1</x:v>
      </x:c>
      <x:c r="B430" s="15" t="str">
        <x:v>ORD00185</x:v>
      </x:c>
      <x:c r="C430" s="15" t="str">
        <x:v>PROD026</x:v>
      </x:c>
      <x:c r="D430" s="15" t="n">
        <x:v>5</x:v>
      </x:c>
      <x:c r="E430" s="15" t="n">
        <x:v>3848.69</x:v>
      </x:c>
      <x:c r="F430" s="15" t="n">
        <x:v>0.15</x:v>
      </x:c>
      <x:c r="G430" s="15" t="n">
        <x:v>19243.45</x:v>
      </x:c>
      <x:c r="H430" s="15" t="n">
        <x:v>16356.93</x:v>
      </x:c>
      <x:c r="I430" s="15" t="n">
        <x:v>13170</x:v>
      </x:c>
      <x:c r="J430" s="15" t="n">
        <x:v>3186.93</x:v>
      </x:c>
      <x:c r="K430" t="str">
        <x:f>XLOOKUP(B430,Orders!A:A,Orders!E:E,"")</x:f>
        <x:v>South</x:v>
      </x:c>
      <x:c r="L430" t="n">
        <x:f>XLOOKUP(B430,Orders!A:A,Orders!B:B,"")</x:f>
        <x:v>46161</x:v>
      </x:c>
      <x:c r="M430" t="str">
        <x:f>XLOOKUP(C430,Products!A:A,Products!C:C,"")</x:f>
        <x:v>Accessories</x:v>
      </x:c>
    </x:row>
    <x:row r="431">
      <x:c r="A431" s="15" t="str">
        <x:v>ITEM00185_2</x:v>
      </x:c>
      <x:c r="B431" s="15" t="str">
        <x:v>ORD00185</x:v>
      </x:c>
      <x:c r="C431" s="15" t="str">
        <x:v>PROD027</x:v>
      </x:c>
      <x:c r="D431" s="15" t="n">
        <x:v>6</x:v>
      </x:c>
      <x:c r="E431" s="15" t="n">
        <x:v>6979.71</x:v>
      </x:c>
      <x:c r="F431" s="15" t="n">
        <x:v>0.1</x:v>
      </x:c>
      <x:c r="G431" s="15" t="n">
        <x:v>41878.26</x:v>
      </x:c>
      <x:c r="H431" s="15" t="n">
        <x:v>37690.43</x:v>
      </x:c>
      <x:c r="I431" s="15" t="n">
        <x:v>33822</x:v>
      </x:c>
      <x:c r="J431" s="15" t="n">
        <x:v>3868.43</x:v>
      </x:c>
      <x:c r="K431" t="str">
        <x:f>XLOOKUP(B431,Orders!A:A,Orders!E:E,"")</x:f>
        <x:v>South</x:v>
      </x:c>
      <x:c r="L431" t="n">
        <x:f>XLOOKUP(B431,Orders!A:A,Orders!B:B,"")</x:f>
        <x:v>46161</x:v>
      </x:c>
      <x:c r="M431" t="str">
        <x:f>XLOOKUP(C431,Products!A:A,Products!C:C,"")</x:f>
        <x:v>Electronics</x:v>
      </x:c>
    </x:row>
    <x:row r="432">
      <x:c r="A432" s="15" t="str">
        <x:v>ITEM00185_3</x:v>
      </x:c>
      <x:c r="B432" s="15" t="str">
        <x:v>ORD00185</x:v>
      </x:c>
      <x:c r="C432" s="15" t="str">
        <x:v>PROD012</x:v>
      </x:c>
      <x:c r="D432" s="15" t="n">
        <x:v>2</x:v>
      </x:c>
      <x:c r="E432" s="15" t="n">
        <x:v>7989.38</x:v>
      </x:c>
      <x:c r="F432" s="15" t="n">
        <x:v>0.15</x:v>
      </x:c>
      <x:c r="G432" s="15" t="n">
        <x:v>15978.76</x:v>
      </x:c>
      <x:c r="H432" s="15" t="n">
        <x:v>13581.95</x:v>
      </x:c>
      <x:c r="I432" s="15" t="n">
        <x:v>12970</x:v>
      </x:c>
      <x:c r="J432" s="15" t="n">
        <x:v>611.95</x:v>
      </x:c>
      <x:c r="K432" t="str">
        <x:f>XLOOKUP(B432,Orders!A:A,Orders!E:E,"")</x:f>
        <x:v>South</x:v>
      </x:c>
      <x:c r="L432" t="n">
        <x:f>XLOOKUP(B432,Orders!A:A,Orders!B:B,"")</x:f>
        <x:v>46161</x:v>
      </x:c>
      <x:c r="M432" t="str">
        <x:f>XLOOKUP(C432,Products!A:A,Products!C:C,"")</x:f>
        <x:v>Electronics</x:v>
      </x:c>
    </x:row>
    <x:row r="433">
      <x:c r="A433" s="15" t="str">
        <x:v>ITEM00186_1</x:v>
      </x:c>
      <x:c r="B433" s="15" t="str">
        <x:v>ORD00186</x:v>
      </x:c>
      <x:c r="C433" s="15" t="str">
        <x:v>PROD028</x:v>
      </x:c>
      <x:c r="D433" s="15" t="n">
        <x:v>1</x:v>
      </x:c>
      <x:c r="E433" s="15" t="n">
        <x:v>4640.74</x:v>
      </x:c>
      <x:c r="F433" s="15" t="n">
        <x:v>0.1</x:v>
      </x:c>
      <x:c r="G433" s="15" t="n">
        <x:v>4640.74</x:v>
      </x:c>
      <x:c r="H433" s="15" t="n">
        <x:v>4176.67</x:v>
      </x:c>
      <x:c r="I433" s="15" t="n">
        <x:v>3534</x:v>
      </x:c>
      <x:c r="J433" s="15" t="n">
        <x:v>642.67</x:v>
      </x:c>
      <x:c r="K433" t="str">
        <x:f>XLOOKUP(B433,Orders!A:A,Orders!E:E,"")</x:f>
        <x:v>West</x:v>
      </x:c>
      <x:c r="L433" t="n">
        <x:f>XLOOKUP(B433,Orders!A:A,Orders!B:B,"")</x:f>
        <x:v>45917</x:v>
      </x:c>
      <x:c r="M433" t="str">
        <x:f>XLOOKUP(C433,Products!A:A,Products!C:C,"")</x:f>
        <x:v>Office Supplies</x:v>
      </x:c>
    </x:row>
    <x:row r="434">
      <x:c r="A434" s="15" t="str">
        <x:v>ITEM00186_2</x:v>
      </x:c>
      <x:c r="B434" s="15" t="str">
        <x:v>ORD00186</x:v>
      </x:c>
      <x:c r="C434" s="15" t="str">
        <x:v>PROD028</x:v>
      </x:c>
      <x:c r="D434" s="15" t="n">
        <x:v>6</x:v>
      </x:c>
      <x:c r="E434" s="15" t="n">
        <x:v>4640.74</x:v>
      </x:c>
      <x:c r="F434" s="15" t="n">
        <x:v>0.1</x:v>
      </x:c>
      <x:c r="G434" s="15" t="n">
        <x:v>27844.44</x:v>
      </x:c>
      <x:c r="H434" s="15" t="n">
        <x:v>25060</x:v>
      </x:c>
      <x:c r="I434" s="15" t="n">
        <x:v>21204</x:v>
      </x:c>
      <x:c r="J434" s="15" t="n">
        <x:v>3856</x:v>
      </x:c>
      <x:c r="K434" t="str">
        <x:f>XLOOKUP(B434,Orders!A:A,Orders!E:E,"")</x:f>
        <x:v>West</x:v>
      </x:c>
      <x:c r="L434" t="n">
        <x:f>XLOOKUP(B434,Orders!A:A,Orders!B:B,"")</x:f>
        <x:v>45917</x:v>
      </x:c>
      <x:c r="M434" t="str">
        <x:f>XLOOKUP(C434,Products!A:A,Products!C:C,"")</x:f>
        <x:v>Office Supplies</x:v>
      </x:c>
    </x:row>
    <x:row r="435">
      <x:c r="A435" s="15" t="str">
        <x:v>ITEM00187_1</x:v>
      </x:c>
      <x:c r="B435" s="15" t="str">
        <x:v>ORD00187</x:v>
      </x:c>
      <x:c r="C435" s="15" t="str">
        <x:v>PROD001</x:v>
      </x:c>
      <x:c r="D435" s="15" t="n">
        <x:v>6</x:v>
      </x:c>
      <x:c r="E435" s="15" t="n">
        <x:v>8672.7</x:v>
      </x:c>
      <x:c r="F435" s="15" t="n">
        <x:v>0.15</x:v>
      </x:c>
      <x:c r="G435" s="15" t="n">
        <x:v>52036.2</x:v>
      </x:c>
      <x:c r="H435" s="15" t="n">
        <x:v>44230.77</x:v>
      </x:c>
      <x:c r="I435" s="15" t="n">
        <x:v>36978</x:v>
      </x:c>
      <x:c r="J435" s="15" t="n">
        <x:v>7252.77</x:v>
      </x:c>
      <x:c r="K435" t="str">
        <x:f>XLOOKUP(B435,Orders!A:A,Orders!E:E,"")</x:f>
        <x:v>West</x:v>
      </x:c>
      <x:c r="L435" t="n">
        <x:f>XLOOKUP(B435,Orders!A:A,Orders!B:B,"")</x:f>
        <x:v>45765</x:v>
      </x:c>
      <x:c r="M435" t="str">
        <x:f>XLOOKUP(C435,Products!A:A,Products!C:C,"")</x:f>
        <x:v>Office Supplies</x:v>
      </x:c>
    </x:row>
    <x:row r="436">
      <x:c r="A436" s="15" t="str">
        <x:v>ITEM00187_2</x:v>
      </x:c>
      <x:c r="B436" s="15" t="str">
        <x:v>ORD00187</x:v>
      </x:c>
      <x:c r="C436" s="15" t="str">
        <x:v>PROD034</x:v>
      </x:c>
      <x:c r="D436" s="15" t="n">
        <x:v>5</x:v>
      </x:c>
      <x:c r="E436" s="15" t="n">
        <x:v>5451.76</x:v>
      </x:c>
      <x:c r="F436" s="15" t="n">
        <x:v>0.1</x:v>
      </x:c>
      <x:c r="G436" s="15" t="n">
        <x:v>27258.8</x:v>
      </x:c>
      <x:c r="H436" s="15" t="n">
        <x:v>24532.92</x:v>
      </x:c>
      <x:c r="I436" s="15" t="n">
        <x:v>18880</x:v>
      </x:c>
      <x:c r="J436" s="15" t="n">
        <x:v>5652.92</x:v>
      </x:c>
      <x:c r="K436" t="str">
        <x:f>XLOOKUP(B436,Orders!A:A,Orders!E:E,"")</x:f>
        <x:v>West</x:v>
      </x:c>
      <x:c r="L436" t="n">
        <x:f>XLOOKUP(B436,Orders!A:A,Orders!B:B,"")</x:f>
        <x:v>45765</x:v>
      </x:c>
      <x:c r="M436" t="str">
        <x:f>XLOOKUP(C436,Products!A:A,Products!C:C,"")</x:f>
        <x:v>Accessories</x:v>
      </x:c>
    </x:row>
    <x:row r="437">
      <x:c r="A437" s="15" t="str">
        <x:v>ITEM00187_3</x:v>
      </x:c>
      <x:c r="B437" s="15" t="str">
        <x:v>ORD00187</x:v>
      </x:c>
      <x:c r="C437" s="15" t="str">
        <x:v>PROD036</x:v>
      </x:c>
      <x:c r="D437" s="15" t="n">
        <x:v>1</x:v>
      </x:c>
      <x:c r="E437" s="15" t="n">
        <x:v>7158.64</x:v>
      </x:c>
      <x:c r="F437" s="15" t="n">
        <x:v>0</x:v>
      </x:c>
      <x:c r="G437" s="15" t="n">
        <x:v>7158.64</x:v>
      </x:c>
      <x:c r="H437" s="15" t="n">
        <x:v>7158.64</x:v>
      </x:c>
      <x:c r="I437" s="15" t="n">
        <x:v>5171</x:v>
      </x:c>
      <x:c r="J437" s="15" t="n">
        <x:v>1987.64</x:v>
      </x:c>
      <x:c r="K437" t="str">
        <x:f>XLOOKUP(B437,Orders!A:A,Orders!E:E,"")</x:f>
        <x:v>West</x:v>
      </x:c>
      <x:c r="L437" t="n">
        <x:f>XLOOKUP(B437,Orders!A:A,Orders!B:B,"")</x:f>
        <x:v>45765</x:v>
      </x:c>
      <x:c r="M437" t="str">
        <x:f>XLOOKUP(C437,Products!A:A,Products!C:C,"")</x:f>
        <x:v>Accessories</x:v>
      </x:c>
    </x:row>
    <x:row r="438">
      <x:c r="A438" s="15" t="str">
        <x:v>ITEM00187_4</x:v>
      </x:c>
      <x:c r="B438" s="15" t="str">
        <x:v>ORD00187</x:v>
      </x:c>
      <x:c r="C438" s="15" t="str">
        <x:v>PROD021</x:v>
      </x:c>
      <x:c r="D438" s="15" t="n">
        <x:v>1</x:v>
      </x:c>
      <x:c r="E438" s="15" t="n">
        <x:v>6748.85</x:v>
      </x:c>
      <x:c r="F438" s="15" t="n">
        <x:v>0</x:v>
      </x:c>
      <x:c r="G438" s="15" t="n">
        <x:v>6748.85</x:v>
      </x:c>
      <x:c r="H438" s="15" t="n">
        <x:v>6748.85</x:v>
      </x:c>
      <x:c r="I438" s="15" t="n">
        <x:v>4999</x:v>
      </x:c>
      <x:c r="J438" s="15" t="n">
        <x:v>1749.85</x:v>
      </x:c>
      <x:c r="K438" t="str">
        <x:f>XLOOKUP(B438,Orders!A:A,Orders!E:E,"")</x:f>
        <x:v>West</x:v>
      </x:c>
      <x:c r="L438" t="n">
        <x:f>XLOOKUP(B438,Orders!A:A,Orders!B:B,"")</x:f>
        <x:v>45765</x:v>
      </x:c>
      <x:c r="M438" t="str">
        <x:f>XLOOKUP(C438,Products!A:A,Products!C:C,"")</x:f>
        <x:v>Electronics</x:v>
      </x:c>
    </x:row>
    <x:row r="439">
      <x:c r="A439" s="15" t="str">
        <x:v>ITEM00188_1</x:v>
      </x:c>
      <x:c r="B439" s="15" t="str">
        <x:v>ORD00188</x:v>
      </x:c>
      <x:c r="C439" s="15" t="str">
        <x:v>PROD037</x:v>
      </x:c>
      <x:c r="D439" s="15" t="n">
        <x:v>7</x:v>
      </x:c>
      <x:c r="E439" s="15" t="n">
        <x:v>9876.8</x:v>
      </x:c>
      <x:c r="F439" s="15" t="n">
        <x:v>0</x:v>
      </x:c>
      <x:c r="G439" s="15" t="n">
        <x:v>69137.6</x:v>
      </x:c>
      <x:c r="H439" s="15" t="n">
        <x:v>69137.6</x:v>
      </x:c>
      <x:c r="I439" s="15" t="n">
        <x:v>49868</x:v>
      </x:c>
      <x:c r="J439" s="15" t="n">
        <x:v>19269.6</x:v>
      </x:c>
      <x:c r="K439" t="str">
        <x:f>XLOOKUP(B439,Orders!A:A,Orders!E:E,"")</x:f>
        <x:v>North</x:v>
      </x:c>
      <x:c r="L439" t="n">
        <x:f>XLOOKUP(B439,Orders!A:A,Orders!B:B,"")</x:f>
        <x:v>46025</x:v>
      </x:c>
      <x:c r="M439" t="str">
        <x:f>XLOOKUP(C439,Products!A:A,Products!C:C,"")</x:f>
        <x:v>Accessories</x:v>
      </x:c>
    </x:row>
    <x:row r="440">
      <x:c r="A440" s="15" t="str">
        <x:v>ITEM00188_2</x:v>
      </x:c>
      <x:c r="B440" s="15" t="str">
        <x:v>ORD00188</x:v>
      </x:c>
      <x:c r="C440" s="15" t="str">
        <x:v>PROD037</x:v>
      </x:c>
      <x:c r="D440" s="15" t="n">
        <x:v>1</x:v>
      </x:c>
      <x:c r="E440" s="15" t="n">
        <x:v>9876.8</x:v>
      </x:c>
      <x:c r="F440" s="15" t="n">
        <x:v>0</x:v>
      </x:c>
      <x:c r="G440" s="15" t="n">
        <x:v>9876.8</x:v>
      </x:c>
      <x:c r="H440" s="15" t="n">
        <x:v>9876.8</x:v>
      </x:c>
      <x:c r="I440" s="15" t="n">
        <x:v>7124</x:v>
      </x:c>
      <x:c r="J440" s="15" t="n">
        <x:v>2752.8</x:v>
      </x:c>
      <x:c r="K440" t="str">
        <x:f>XLOOKUP(B440,Orders!A:A,Orders!E:E,"")</x:f>
        <x:v>North</x:v>
      </x:c>
      <x:c r="L440" t="n">
        <x:f>XLOOKUP(B440,Orders!A:A,Orders!B:B,"")</x:f>
        <x:v>46025</x:v>
      </x:c>
      <x:c r="M440" t="str">
        <x:f>XLOOKUP(C440,Products!A:A,Products!C:C,"")</x:f>
        <x:v>Accessories</x:v>
      </x:c>
    </x:row>
    <x:row r="441">
      <x:c r="A441" s="15" t="str">
        <x:v>ITEM00188_3</x:v>
      </x:c>
      <x:c r="B441" s="15" t="str">
        <x:v>ORD00188</x:v>
      </x:c>
      <x:c r="C441" s="15" t="str">
        <x:v>PROD025</x:v>
      </x:c>
      <x:c r="D441" s="15" t="n">
        <x:v>5</x:v>
      </x:c>
      <x:c r="E441" s="15" t="n">
        <x:v>1148.84</x:v>
      </x:c>
      <x:c r="F441" s="15" t="n">
        <x:v>0.15</x:v>
      </x:c>
      <x:c r="G441" s="15" t="n">
        <x:v>5744.2</x:v>
      </x:c>
      <x:c r="H441" s="15" t="n">
        <x:v>4882.57</x:v>
      </x:c>
      <x:c r="I441" s="15" t="n">
        <x:v>4390</x:v>
      </x:c>
      <x:c r="J441" s="15" t="n">
        <x:v>492.57</x:v>
      </x:c>
      <x:c r="K441" t="str">
        <x:f>XLOOKUP(B441,Orders!A:A,Orders!E:E,"")</x:f>
        <x:v>North</x:v>
      </x:c>
      <x:c r="L441" t="n">
        <x:f>XLOOKUP(B441,Orders!A:A,Orders!B:B,"")</x:f>
        <x:v>46025</x:v>
      </x:c>
      <x:c r="M441" t="str">
        <x:f>XLOOKUP(C441,Products!A:A,Products!C:C,"")</x:f>
        <x:v>Furniture</x:v>
      </x:c>
    </x:row>
    <x:row r="442">
      <x:c r="A442" s="15" t="str">
        <x:v>ITEM00189_1</x:v>
      </x:c>
      <x:c r="B442" s="15" t="str">
        <x:v>ORD00189</x:v>
      </x:c>
      <x:c r="C442" s="15" t="str">
        <x:v>PROD003</x:v>
      </x:c>
      <x:c r="D442" s="15" t="n">
        <x:v>8</x:v>
      </x:c>
      <x:c r="E442" s="15" t="n">
        <x:v>10757.89</x:v>
      </x:c>
      <x:c r="F442" s="15" t="n">
        <x:v>0.15</x:v>
      </x:c>
      <x:c r="G442" s="15" t="n">
        <x:v>86063.12</x:v>
      </x:c>
      <x:c r="H442" s="15" t="n">
        <x:v>73153.65</x:v>
      </x:c>
      <x:c r="I442" s="15" t="n">
        <x:v>59368</x:v>
      </x:c>
      <x:c r="J442" s="15" t="n">
        <x:v>13785.65</x:v>
      </x:c>
      <x:c r="K442" t="str">
        <x:f>XLOOKUP(B442,Orders!A:A,Orders!E:E,"")</x:f>
        <x:v>West</x:v>
      </x:c>
      <x:c r="L442" t="n">
        <x:f>XLOOKUP(B442,Orders!A:A,Orders!B:B,"")</x:f>
        <x:v>45964</x:v>
      </x:c>
      <x:c r="M442" t="str">
        <x:f>XLOOKUP(C442,Products!A:A,Products!C:C,"")</x:f>
        <x:v>Accessories</x:v>
      </x:c>
    </x:row>
    <x:row r="443">
      <x:c r="A443" s="15" t="str">
        <x:v>ITEM00189_2</x:v>
      </x:c>
      <x:c r="B443" s="15" t="str">
        <x:v>ORD00189</x:v>
      </x:c>
      <x:c r="C443" s="15" t="str">
        <x:v>PROD038</x:v>
      </x:c>
      <x:c r="D443" s="15" t="n">
        <x:v>2</x:v>
      </x:c>
      <x:c r="E443" s="15" t="n">
        <x:v>5219.7</x:v>
      </x:c>
      <x:c r="F443" s="15" t="n">
        <x:v>0.1</x:v>
      </x:c>
      <x:c r="G443" s="15" t="n">
        <x:v>10439.4</x:v>
      </x:c>
      <x:c r="H443" s="15" t="n">
        <x:v>9395.46</x:v>
      </x:c>
      <x:c r="I443" s="15" t="n">
        <x:v>7872</x:v>
      </x:c>
      <x:c r="J443" s="15" t="n">
        <x:v>1523.46</x:v>
      </x:c>
      <x:c r="K443" t="str">
        <x:f>XLOOKUP(B443,Orders!A:A,Orders!E:E,"")</x:f>
        <x:v>West</x:v>
      </x:c>
      <x:c r="L443" t="n">
        <x:f>XLOOKUP(B443,Orders!A:A,Orders!B:B,"")</x:f>
        <x:v>45964</x:v>
      </x:c>
      <x:c r="M443" t="str">
        <x:f>XLOOKUP(C443,Products!A:A,Products!C:C,"")</x:f>
        <x:v>Office Supplies</x:v>
      </x:c>
    </x:row>
    <x:row r="444">
      <x:c r="A444" s="15" t="str">
        <x:v>ITEM00189_3</x:v>
      </x:c>
      <x:c r="B444" s="15" t="str">
        <x:v>ORD00189</x:v>
      </x:c>
      <x:c r="C444" s="15" t="str">
        <x:v>PROD013</x:v>
      </x:c>
      <x:c r="D444" s="15" t="n">
        <x:v>4</x:v>
      </x:c>
      <x:c r="E444" s="15" t="n">
        <x:v>7614.02</x:v>
      </x:c>
      <x:c r="F444" s="15" t="n">
        <x:v>0.05</x:v>
      </x:c>
      <x:c r="G444" s="15" t="n">
        <x:v>30456.08</x:v>
      </x:c>
      <x:c r="H444" s="15" t="n">
        <x:v>28933.28</x:v>
      </x:c>
      <x:c r="I444" s="15" t="n">
        <x:v>24308</x:v>
      </x:c>
      <x:c r="J444" s="15" t="n">
        <x:v>4625.28</x:v>
      </x:c>
      <x:c r="K444" t="str">
        <x:f>XLOOKUP(B444,Orders!A:A,Orders!E:E,"")</x:f>
        <x:v>West</x:v>
      </x:c>
      <x:c r="L444" t="n">
        <x:f>XLOOKUP(B444,Orders!A:A,Orders!B:B,"")</x:f>
        <x:v>45964</x:v>
      </x:c>
      <x:c r="M444" t="str">
        <x:f>XLOOKUP(C444,Products!A:A,Products!C:C,"")</x:f>
        <x:v>Furniture</x:v>
      </x:c>
    </x:row>
    <x:row r="445">
      <x:c r="A445" s="15" t="str">
        <x:v>ITEM00189_4</x:v>
      </x:c>
      <x:c r="B445" s="15" t="str">
        <x:v>ORD00189</x:v>
      </x:c>
      <x:c r="C445" s="15" t="str">
        <x:v>PROD015</x:v>
      </x:c>
      <x:c r="D445" s="15" t="n">
        <x:v>7</x:v>
      </x:c>
      <x:c r="E445" s="15" t="n">
        <x:v>5903.1</x:v>
      </x:c>
      <x:c r="F445" s="15" t="n">
        <x:v>0.1</x:v>
      </x:c>
      <x:c r="G445" s="15" t="n">
        <x:v>41321.7</x:v>
      </x:c>
      <x:c r="H445" s="15" t="n">
        <x:v>37189.53</x:v>
      </x:c>
      <x:c r="I445" s="15" t="n">
        <x:v>33495</x:v>
      </x:c>
      <x:c r="J445" s="15" t="n">
        <x:v>3694.53</x:v>
      </x:c>
      <x:c r="K445" t="str">
        <x:f>XLOOKUP(B445,Orders!A:A,Orders!E:E,"")</x:f>
        <x:v>West</x:v>
      </x:c>
      <x:c r="L445" t="n">
        <x:f>XLOOKUP(B445,Orders!A:A,Orders!B:B,"")</x:f>
        <x:v>45964</x:v>
      </x:c>
      <x:c r="M445" t="str">
        <x:f>XLOOKUP(C445,Products!A:A,Products!C:C,"")</x:f>
        <x:v>Electronics</x:v>
      </x:c>
    </x:row>
    <x:row r="446">
      <x:c r="A446" s="15" t="str">
        <x:v>ITEM00190_1</x:v>
      </x:c>
      <x:c r="B446" s="15" t="str">
        <x:v>ORD00190</x:v>
      </x:c>
      <x:c r="C446" s="15" t="str">
        <x:v>PROD020</x:v>
      </x:c>
      <x:c r="D446" s="15" t="n">
        <x:v>5</x:v>
      </x:c>
      <x:c r="E446" s="15" t="n">
        <x:v>6564.04</x:v>
      </x:c>
      <x:c r="F446" s="15" t="n">
        <x:v>0</x:v>
      </x:c>
      <x:c r="G446" s="15" t="n">
        <x:v>32820.2</x:v>
      </x:c>
      <x:c r="H446" s="15" t="n">
        <x:v>32820.2</x:v>
      </x:c>
      <x:c r="I446" s="15" t="n">
        <x:v>22925</x:v>
      </x:c>
      <x:c r="J446" s="15" t="n">
        <x:v>9895.2</x:v>
      </x:c>
      <x:c r="K446" t="str">
        <x:f>XLOOKUP(B446,Orders!A:A,Orders!E:E,"")</x:f>
        <x:v>West</x:v>
      </x:c>
      <x:c r="L446" t="n">
        <x:f>XLOOKUP(B446,Orders!A:A,Orders!B:B,"")</x:f>
        <x:v>45895</x:v>
      </x:c>
      <x:c r="M446" t="str">
        <x:f>XLOOKUP(C446,Products!A:A,Products!C:C,"")</x:f>
        <x:v>Accessories</x:v>
      </x:c>
    </x:row>
    <x:row r="447">
      <x:c r="A447" s="15" t="str">
        <x:v>ITEM00190_2</x:v>
      </x:c>
      <x:c r="B447" s="15" t="str">
        <x:v>ORD00190</x:v>
      </x:c>
      <x:c r="C447" s="15" t="str">
        <x:v>PROD030</x:v>
      </x:c>
      <x:c r="D447" s="15" t="n">
        <x:v>8</x:v>
      </x:c>
      <x:c r="E447" s="15" t="n">
        <x:v>5180.7</x:v>
      </x:c>
      <x:c r="F447" s="15" t="n">
        <x:v>0</x:v>
      </x:c>
      <x:c r="G447" s="15" t="n">
        <x:v>41445.6</x:v>
      </x:c>
      <x:c r="H447" s="15" t="n">
        <x:v>41445.6</x:v>
      </x:c>
      <x:c r="I447" s="15" t="n">
        <x:v>31104</x:v>
      </x:c>
      <x:c r="J447" s="15" t="n">
        <x:v>10341.6</x:v>
      </x:c>
      <x:c r="K447" t="str">
        <x:f>XLOOKUP(B447,Orders!A:A,Orders!E:E,"")</x:f>
        <x:v>West</x:v>
      </x:c>
      <x:c r="L447" t="n">
        <x:f>XLOOKUP(B447,Orders!A:A,Orders!B:B,"")</x:f>
        <x:v>45895</x:v>
      </x:c>
      <x:c r="M447" t="str">
        <x:f>XLOOKUP(C447,Products!A:A,Products!C:C,"")</x:f>
        <x:v>Office Supplies</x:v>
      </x:c>
    </x:row>
    <x:row r="448">
      <x:c r="A448" s="15" t="str">
        <x:v>ITEM00191_1</x:v>
      </x:c>
      <x:c r="B448" s="15" t="str">
        <x:v>ORD00191</x:v>
      </x:c>
      <x:c r="C448" s="15" t="str">
        <x:v>PROD005</x:v>
      </x:c>
      <x:c r="D448" s="15" t="n">
        <x:v>4</x:v>
      </x:c>
      <x:c r="E448" s="15" t="n">
        <x:v>6453.62</x:v>
      </x:c>
      <x:c r="F448" s="15" t="n">
        <x:v>0.15</x:v>
      </x:c>
      <x:c r="G448" s="15" t="n">
        <x:v>25814.48</x:v>
      </x:c>
      <x:c r="H448" s="15" t="n">
        <x:v>21942.31</x:v>
      </x:c>
      <x:c r="I448" s="15" t="n">
        <x:v>19392</x:v>
      </x:c>
      <x:c r="J448" s="15" t="n">
        <x:v>2550.31</x:v>
      </x:c>
      <x:c r="K448" t="str">
        <x:f>XLOOKUP(B448,Orders!A:A,Orders!E:E,"")</x:f>
        <x:v>West</x:v>
      </x:c>
      <x:c r="L448" t="n">
        <x:f>XLOOKUP(B448,Orders!A:A,Orders!B:B,"")</x:f>
        <x:v>46167</x:v>
      </x:c>
      <x:c r="M448" t="str">
        <x:f>XLOOKUP(C448,Products!A:A,Products!C:C,"")</x:f>
        <x:v>Office Supplies</x:v>
      </x:c>
    </x:row>
    <x:row r="449">
      <x:c r="A449" s="15" t="str">
        <x:v>ITEM00192_1</x:v>
      </x:c>
      <x:c r="B449" s="15" t="str">
        <x:v>ORD00192</x:v>
      </x:c>
      <x:c r="C449" s="15" t="str">
        <x:v>PROD013</x:v>
      </x:c>
      <x:c r="D449" s="15" t="n">
        <x:v>1</x:v>
      </x:c>
      <x:c r="E449" s="15" t="n">
        <x:v>7614.02</x:v>
      </x:c>
      <x:c r="F449" s="15" t="n">
        <x:v>0.15</x:v>
      </x:c>
      <x:c r="G449" s="15" t="n">
        <x:v>7614.02</x:v>
      </x:c>
      <x:c r="H449" s="15" t="n">
        <x:v>6471.92</x:v>
      </x:c>
      <x:c r="I449" s="15" t="n">
        <x:v>6077</x:v>
      </x:c>
      <x:c r="J449" s="15" t="n">
        <x:v>394.92</x:v>
      </x:c>
      <x:c r="K449" t="str">
        <x:f>XLOOKUP(B449,Orders!A:A,Orders!E:E,"")</x:f>
        <x:v>North</x:v>
      </x:c>
      <x:c r="L449" t="n">
        <x:f>XLOOKUP(B449,Orders!A:A,Orders!B:B,"")</x:f>
        <x:v>46196</x:v>
      </x:c>
      <x:c r="M449" t="str">
        <x:f>XLOOKUP(C449,Products!A:A,Products!C:C,"")</x:f>
        <x:v>Furniture</x:v>
      </x:c>
    </x:row>
    <x:row r="450">
      <x:c r="A450" s="15" t="str">
        <x:v>ITEM00192_2</x:v>
      </x:c>
      <x:c r="B450" s="15" t="str">
        <x:v>ORD00192</x:v>
      </x:c>
      <x:c r="C450" s="15" t="str">
        <x:v>PROD031</x:v>
      </x:c>
      <x:c r="D450" s="15" t="n">
        <x:v>7</x:v>
      </x:c>
      <x:c r="E450" s="15" t="n">
        <x:v>3371.81</x:v>
      </x:c>
      <x:c r="F450" s="15" t="n">
        <x:v>0.05</x:v>
      </x:c>
      <x:c r="G450" s="15" t="n">
        <x:v>23602.67</x:v>
      </x:c>
      <x:c r="H450" s="15" t="n">
        <x:v>22422.54</x:v>
      </x:c>
      <x:c r="I450" s="15" t="n">
        <x:v>19579</x:v>
      </x:c>
      <x:c r="J450" s="15" t="n">
        <x:v>2843.54</x:v>
      </x:c>
      <x:c r="K450" t="str">
        <x:f>XLOOKUP(B450,Orders!A:A,Orders!E:E,"")</x:f>
        <x:v>North</x:v>
      </x:c>
      <x:c r="L450" t="n">
        <x:f>XLOOKUP(B450,Orders!A:A,Orders!B:B,"")</x:f>
        <x:v>46196</x:v>
      </x:c>
      <x:c r="M450" t="str">
        <x:f>XLOOKUP(C450,Products!A:A,Products!C:C,"")</x:f>
        <x:v>Furniture</x:v>
      </x:c>
    </x:row>
    <x:row r="451">
      <x:c r="A451" s="15" t="str">
        <x:v>ITEM00192_3</x:v>
      </x:c>
      <x:c r="B451" s="15" t="str">
        <x:v>ORD00192</x:v>
      </x:c>
      <x:c r="C451" s="15" t="str">
        <x:v>PROD023</x:v>
      </x:c>
      <x:c r="D451" s="15" t="n">
        <x:v>6</x:v>
      </x:c>
      <x:c r="E451" s="15" t="n">
        <x:v>5153.56</x:v>
      </x:c>
      <x:c r="F451" s="15" t="n">
        <x:v>0.15</x:v>
      </x:c>
      <x:c r="G451" s="15" t="n">
        <x:v>30921.36</x:v>
      </x:c>
      <x:c r="H451" s="15" t="n">
        <x:v>26283.16</x:v>
      </x:c>
      <x:c r="I451" s="15" t="n">
        <x:v>23748</x:v>
      </x:c>
      <x:c r="J451" s="15" t="n">
        <x:v>2535.16</x:v>
      </x:c>
      <x:c r="K451" t="str">
        <x:f>XLOOKUP(B451,Orders!A:A,Orders!E:E,"")</x:f>
        <x:v>North</x:v>
      </x:c>
      <x:c r="L451" t="n">
        <x:f>XLOOKUP(B451,Orders!A:A,Orders!B:B,"")</x:f>
        <x:v>46196</x:v>
      </x:c>
      <x:c r="M451" t="str">
        <x:f>XLOOKUP(C451,Products!A:A,Products!C:C,"")</x:f>
        <x:v>Electronics</x:v>
      </x:c>
    </x:row>
    <x:row r="452">
      <x:c r="A452" s="15" t="str">
        <x:v>ITEM00192_4</x:v>
      </x:c>
      <x:c r="B452" s="15" t="str">
        <x:v>ORD00192</x:v>
      </x:c>
      <x:c r="C452" s="15" t="str">
        <x:v>PROD036</x:v>
      </x:c>
      <x:c r="D452" s="15" t="n">
        <x:v>3</x:v>
      </x:c>
      <x:c r="E452" s="15" t="n">
        <x:v>7158.64</x:v>
      </x:c>
      <x:c r="F452" s="15" t="n">
        <x:v>0</x:v>
      </x:c>
      <x:c r="G452" s="15" t="n">
        <x:v>21475.92</x:v>
      </x:c>
      <x:c r="H452" s="15" t="n">
        <x:v>21475.92</x:v>
      </x:c>
      <x:c r="I452" s="15" t="n">
        <x:v>15513</x:v>
      </x:c>
      <x:c r="J452" s="15" t="n">
        <x:v>5962.92</x:v>
      </x:c>
      <x:c r="K452" t="str">
        <x:f>XLOOKUP(B452,Orders!A:A,Orders!E:E,"")</x:f>
        <x:v>North</x:v>
      </x:c>
      <x:c r="L452" t="n">
        <x:f>XLOOKUP(B452,Orders!A:A,Orders!B:B,"")</x:f>
        <x:v>46196</x:v>
      </x:c>
      <x:c r="M452" t="str">
        <x:f>XLOOKUP(C452,Products!A:A,Products!C:C,"")</x:f>
        <x:v>Accessories</x:v>
      </x:c>
    </x:row>
    <x:row r="453">
      <x:c r="A453" s="15" t="str">
        <x:v>ITEM00193_1</x:v>
      </x:c>
      <x:c r="B453" s="15" t="str">
        <x:v>ORD00193</x:v>
      </x:c>
      <x:c r="C453" s="15" t="str">
        <x:v>PROD040</x:v>
      </x:c>
      <x:c r="D453" s="15" t="n">
        <x:v>2</x:v>
      </x:c>
      <x:c r="E453" s="15" t="n">
        <x:v>8561.07</x:v>
      </x:c>
      <x:c r="F453" s="15" t="n">
        <x:v>0</x:v>
      </x:c>
      <x:c r="G453" s="15" t="n">
        <x:v>17122.14</x:v>
      </x:c>
      <x:c r="H453" s="15" t="n">
        <x:v>17122.14</x:v>
      </x:c>
      <x:c r="I453" s="15" t="n">
        <x:v>13682</x:v>
      </x:c>
      <x:c r="J453" s="15" t="n">
        <x:v>3440.14</x:v>
      </x:c>
      <x:c r="K453" t="str">
        <x:f>XLOOKUP(B453,Orders!A:A,Orders!E:E,"")</x:f>
        <x:v>North</x:v>
      </x:c>
      <x:c r="L453" t="n">
        <x:f>XLOOKUP(B453,Orders!A:A,Orders!B:B,"")</x:f>
        <x:v>45997</x:v>
      </x:c>
      <x:c r="M453" t="str">
        <x:f>XLOOKUP(C453,Products!A:A,Products!C:C,"")</x:f>
        <x:v>Electronics</x:v>
      </x:c>
    </x:row>
    <x:row r="454">
      <x:c r="A454" s="15" t="str">
        <x:v>ITEM00194_1</x:v>
      </x:c>
      <x:c r="B454" s="15" t="str">
        <x:v>ORD00194</x:v>
      </x:c>
      <x:c r="C454" s="15" t="str">
        <x:v>PROD008</x:v>
      </x:c>
      <x:c r="D454" s="15" t="n">
        <x:v>5</x:v>
      </x:c>
      <x:c r="E454" s="15" t="n">
        <x:v>8534.48</x:v>
      </x:c>
      <x:c r="F454" s="15" t="n">
        <x:v>0.1</x:v>
      </x:c>
      <x:c r="G454" s="15" t="n">
        <x:v>42672.4</x:v>
      </x:c>
      <x:c r="H454" s="15" t="n">
        <x:v>38405.16</x:v>
      </x:c>
      <x:c r="I454" s="15" t="n">
        <x:v>30985</x:v>
      </x:c>
      <x:c r="J454" s="15" t="n">
        <x:v>7420.16</x:v>
      </x:c>
      <x:c r="K454" t="str">
        <x:f>XLOOKUP(B454,Orders!A:A,Orders!E:E,"")</x:f>
        <x:v>West</x:v>
      </x:c>
      <x:c r="L454" t="n">
        <x:f>XLOOKUP(B454,Orders!A:A,Orders!B:B,"")</x:f>
        <x:v>46119</x:v>
      </x:c>
      <x:c r="M454" t="str">
        <x:f>XLOOKUP(C454,Products!A:A,Products!C:C,"")</x:f>
        <x:v>Office Supplies</x:v>
      </x:c>
    </x:row>
    <x:row r="455">
      <x:c r="A455" s="15" t="str">
        <x:v>ITEM00194_2</x:v>
      </x:c>
      <x:c r="B455" s="15" t="str">
        <x:v>ORD00194</x:v>
      </x:c>
      <x:c r="C455" s="15" t="str">
        <x:v>PROD033</x:v>
      </x:c>
      <x:c r="D455" s="15" t="n">
        <x:v>3</x:v>
      </x:c>
      <x:c r="E455" s="15" t="n">
        <x:v>3912.41</x:v>
      </x:c>
      <x:c r="F455" s="15" t="n">
        <x:v>0.05</x:v>
      </x:c>
      <x:c r="G455" s="15" t="n">
        <x:v>11737.23</x:v>
      </x:c>
      <x:c r="H455" s="15" t="n">
        <x:v>11150.37</x:v>
      </x:c>
      <x:c r="I455" s="15" t="n">
        <x:v>8973</x:v>
      </x:c>
      <x:c r="J455" s="15" t="n">
        <x:v>2177.37</x:v>
      </x:c>
      <x:c r="K455" t="str">
        <x:f>XLOOKUP(B455,Orders!A:A,Orders!E:E,"")</x:f>
        <x:v>West</x:v>
      </x:c>
      <x:c r="L455" t="n">
        <x:f>XLOOKUP(B455,Orders!A:A,Orders!B:B,"")</x:f>
        <x:v>46119</x:v>
      </x:c>
      <x:c r="M455" t="str">
        <x:f>XLOOKUP(C455,Products!A:A,Products!C:C,"")</x:f>
        <x:v>Furniture</x:v>
      </x:c>
    </x:row>
    <x:row r="456">
      <x:c r="A456" s="15" t="str">
        <x:v>ITEM00194_3</x:v>
      </x:c>
      <x:c r="B456" s="15" t="str">
        <x:v>ORD00194</x:v>
      </x:c>
      <x:c r="C456" s="15" t="str">
        <x:v>PROD026</x:v>
      </x:c>
      <x:c r="D456" s="15" t="n">
        <x:v>6</x:v>
      </x:c>
      <x:c r="E456" s="15" t="n">
        <x:v>3848.69</x:v>
      </x:c>
      <x:c r="F456" s="15" t="n">
        <x:v>0.05</x:v>
      </x:c>
      <x:c r="G456" s="15" t="n">
        <x:v>23092.14</x:v>
      </x:c>
      <x:c r="H456" s="15" t="n">
        <x:v>21937.53</x:v>
      </x:c>
      <x:c r="I456" s="15" t="n">
        <x:v>15804</x:v>
      </x:c>
      <x:c r="J456" s="15" t="n">
        <x:v>6133.53</x:v>
      </x:c>
      <x:c r="K456" t="str">
        <x:f>XLOOKUP(B456,Orders!A:A,Orders!E:E,"")</x:f>
        <x:v>West</x:v>
      </x:c>
      <x:c r="L456" t="n">
        <x:f>XLOOKUP(B456,Orders!A:A,Orders!B:B,"")</x:f>
        <x:v>46119</x:v>
      </x:c>
      <x:c r="M456" t="str">
        <x:f>XLOOKUP(C456,Products!A:A,Products!C:C,"")</x:f>
        <x:v>Accessories</x:v>
      </x:c>
    </x:row>
    <x:row r="457">
      <x:c r="A457" s="15" t="str">
        <x:v>ITEM00195_1</x:v>
      </x:c>
      <x:c r="B457" s="15" t="str">
        <x:v>ORD00195</x:v>
      </x:c>
      <x:c r="C457" s="15" t="str">
        <x:v>PROD025</x:v>
      </x:c>
      <x:c r="D457" s="15" t="n">
        <x:v>6</x:v>
      </x:c>
      <x:c r="E457" s="15" t="n">
        <x:v>1148.84</x:v>
      </x:c>
      <x:c r="F457" s="15" t="n">
        <x:v>0.1</x:v>
      </x:c>
      <x:c r="G457" s="15" t="n">
        <x:v>6893.04</x:v>
      </x:c>
      <x:c r="H457" s="15" t="n">
        <x:v>6203.74</x:v>
      </x:c>
      <x:c r="I457" s="15" t="n">
        <x:v>5268</x:v>
      </x:c>
      <x:c r="J457" s="15" t="n">
        <x:v>935.74</x:v>
      </x:c>
      <x:c r="K457" t="str">
        <x:f>XLOOKUP(B457,Orders!A:A,Orders!E:E,"")</x:f>
        <x:v>East</x:v>
      </x:c>
      <x:c r="L457" t="n">
        <x:f>XLOOKUP(B457,Orders!A:A,Orders!B:B,"")</x:f>
        <x:v>45678</x:v>
      </x:c>
      <x:c r="M457" t="str">
        <x:f>XLOOKUP(C457,Products!A:A,Products!C:C,"")</x:f>
        <x:v>Furniture</x:v>
      </x:c>
    </x:row>
    <x:row r="458">
      <x:c r="A458" s="15" t="str">
        <x:v>ITEM00195_2</x:v>
      </x:c>
      <x:c r="B458" s="15" t="str">
        <x:v>ORD00195</x:v>
      </x:c>
      <x:c r="C458" s="15" t="str">
        <x:v>PROD003</x:v>
      </x:c>
      <x:c r="D458" s="15" t="n">
        <x:v>4</x:v>
      </x:c>
      <x:c r="E458" s="15" t="n">
        <x:v>10757.89</x:v>
      </x:c>
      <x:c r="F458" s="15" t="n">
        <x:v>0</x:v>
      </x:c>
      <x:c r="G458" s="15" t="n">
        <x:v>43031.56</x:v>
      </x:c>
      <x:c r="H458" s="15" t="n">
        <x:v>43031.56</x:v>
      </x:c>
      <x:c r="I458" s="15" t="n">
        <x:v>29684</x:v>
      </x:c>
      <x:c r="J458" s="15" t="n">
        <x:v>13347.56</x:v>
      </x:c>
      <x:c r="K458" t="str">
        <x:f>XLOOKUP(B458,Orders!A:A,Orders!E:E,"")</x:f>
        <x:v>East</x:v>
      </x:c>
      <x:c r="L458" t="n">
        <x:f>XLOOKUP(B458,Orders!A:A,Orders!B:B,"")</x:f>
        <x:v>45678</x:v>
      </x:c>
      <x:c r="M458" t="str">
        <x:f>XLOOKUP(C458,Products!A:A,Products!C:C,"")</x:f>
        <x:v>Accessories</x:v>
      </x:c>
    </x:row>
    <x:row r="459">
      <x:c r="A459" s="15" t="str">
        <x:v>ITEM00195_3</x:v>
      </x:c>
      <x:c r="B459" s="15" t="str">
        <x:v>ORD00195</x:v>
      </x:c>
      <x:c r="C459" s="15" t="str">
        <x:v>PROD027</x:v>
      </x:c>
      <x:c r="D459" s="15" t="n">
        <x:v>2</x:v>
      </x:c>
      <x:c r="E459" s="15" t="n">
        <x:v>6979.71</x:v>
      </x:c>
      <x:c r="F459" s="15" t="n">
        <x:v>0</x:v>
      </x:c>
      <x:c r="G459" s="15" t="n">
        <x:v>13959.42</x:v>
      </x:c>
      <x:c r="H459" s="15" t="n">
        <x:v>13959.42</x:v>
      </x:c>
      <x:c r="I459" s="15" t="n">
        <x:v>11274</x:v>
      </x:c>
      <x:c r="J459" s="15" t="n">
        <x:v>2685.42</x:v>
      </x:c>
      <x:c r="K459" t="str">
        <x:f>XLOOKUP(B459,Orders!A:A,Orders!E:E,"")</x:f>
        <x:v>East</x:v>
      </x:c>
      <x:c r="L459" t="n">
        <x:f>XLOOKUP(B459,Orders!A:A,Orders!B:B,"")</x:f>
        <x:v>45678</x:v>
      </x:c>
      <x:c r="M459" t="str">
        <x:f>XLOOKUP(C459,Products!A:A,Products!C:C,"")</x:f>
        <x:v>Electronics</x:v>
      </x:c>
    </x:row>
    <x:row r="460">
      <x:c r="A460" s="15" t="str">
        <x:v>ITEM00196_1</x:v>
      </x:c>
      <x:c r="B460" s="15" t="str">
        <x:v>ORD00196</x:v>
      </x:c>
      <x:c r="C460" s="15" t="str">
        <x:v>PROD028</x:v>
      </x:c>
      <x:c r="D460" s="15" t="n">
        <x:v>1</x:v>
      </x:c>
      <x:c r="E460" s="15" t="n">
        <x:v>4640.74</x:v>
      </x:c>
      <x:c r="F460" s="15" t="n">
        <x:v>0</x:v>
      </x:c>
      <x:c r="G460" s="15" t="n">
        <x:v>4640.74</x:v>
      </x:c>
      <x:c r="H460" s="15" t="n">
        <x:v>4640.74</x:v>
      </x:c>
      <x:c r="I460" s="15" t="n">
        <x:v>3534</x:v>
      </x:c>
      <x:c r="J460" s="15" t="n">
        <x:v>1106.74</x:v>
      </x:c>
      <x:c r="K460" t="str">
        <x:f>XLOOKUP(B460,Orders!A:A,Orders!E:E,"")</x:f>
        <x:v>West</x:v>
      </x:c>
      <x:c r="L460" t="n">
        <x:f>XLOOKUP(B460,Orders!A:A,Orders!B:B,"")</x:f>
        <x:v>46046</x:v>
      </x:c>
      <x:c r="M460" t="str">
        <x:f>XLOOKUP(C460,Products!A:A,Products!C:C,"")</x:f>
        <x:v>Office Supplies</x:v>
      </x:c>
    </x:row>
    <x:row r="461">
      <x:c r="A461" s="15" t="str">
        <x:v>ITEM00196_2</x:v>
      </x:c>
      <x:c r="B461" s="15" t="str">
        <x:v>ORD00196</x:v>
      </x:c>
      <x:c r="C461" s="15" t="str">
        <x:v>PROD008</x:v>
      </x:c>
      <x:c r="D461" s="15" t="n">
        <x:v>4</x:v>
      </x:c>
      <x:c r="E461" s="15" t="n">
        <x:v>8534.48</x:v>
      </x:c>
      <x:c r="F461" s="15" t="n">
        <x:v>0.15</x:v>
      </x:c>
      <x:c r="G461" s="15" t="n">
        <x:v>34137.92</x:v>
      </x:c>
      <x:c r="H461" s="15" t="n">
        <x:v>29017.23</x:v>
      </x:c>
      <x:c r="I461" s="15" t="n">
        <x:v>24788</x:v>
      </x:c>
      <x:c r="J461" s="15" t="n">
        <x:v>4229.23</x:v>
      </x:c>
      <x:c r="K461" t="str">
        <x:f>XLOOKUP(B461,Orders!A:A,Orders!E:E,"")</x:f>
        <x:v>West</x:v>
      </x:c>
      <x:c r="L461" t="n">
        <x:f>XLOOKUP(B461,Orders!A:A,Orders!B:B,"")</x:f>
        <x:v>46046</x:v>
      </x:c>
      <x:c r="M461" t="str">
        <x:f>XLOOKUP(C461,Products!A:A,Products!C:C,"")</x:f>
        <x:v>Office Supplies</x:v>
      </x:c>
    </x:row>
    <x:row r="462">
      <x:c r="A462" s="15" t="str">
        <x:v>ITEM00196_3</x:v>
      </x:c>
      <x:c r="B462" s="15" t="str">
        <x:v>ORD00196</x:v>
      </x:c>
      <x:c r="C462" s="15" t="str">
        <x:v>PROD033</x:v>
      </x:c>
      <x:c r="D462" s="15" t="n">
        <x:v>5</x:v>
      </x:c>
      <x:c r="E462" s="15" t="n">
        <x:v>3912.41</x:v>
      </x:c>
      <x:c r="F462" s="15" t="n">
        <x:v>0.15</x:v>
      </x:c>
      <x:c r="G462" s="15" t="n">
        <x:v>19562.05</x:v>
      </x:c>
      <x:c r="H462" s="15" t="n">
        <x:v>16627.74</x:v>
      </x:c>
      <x:c r="I462" s="15" t="n">
        <x:v>14955</x:v>
      </x:c>
      <x:c r="J462" s="15" t="n">
        <x:v>1672.74</x:v>
      </x:c>
      <x:c r="K462" t="str">
        <x:f>XLOOKUP(B462,Orders!A:A,Orders!E:E,"")</x:f>
        <x:v>West</x:v>
      </x:c>
      <x:c r="L462" t="n">
        <x:f>XLOOKUP(B462,Orders!A:A,Orders!B:B,"")</x:f>
        <x:v>46046</x:v>
      </x:c>
      <x:c r="M462" t="str">
        <x:f>XLOOKUP(C462,Products!A:A,Products!C:C,"")</x:f>
        <x:v>Furniture</x:v>
      </x:c>
    </x:row>
    <x:row r="463">
      <x:c r="A463" s="15" t="str">
        <x:v>ITEM00196_4</x:v>
      </x:c>
      <x:c r="B463" s="15" t="str">
        <x:v>ORD00196</x:v>
      </x:c>
      <x:c r="C463" s="15" t="str">
        <x:v>PROD006</x:v>
      </x:c>
      <x:c r="D463" s="15" t="n">
        <x:v>3</x:v>
      </x:c>
      <x:c r="E463" s="15" t="n">
        <x:v>4261.26</x:v>
      </x:c>
      <x:c r="F463" s="15" t="n">
        <x:v>0.15</x:v>
      </x:c>
      <x:c r="G463" s="15" t="n">
        <x:v>12783.78</x:v>
      </x:c>
      <x:c r="H463" s="15" t="n">
        <x:v>10866.21</x:v>
      </x:c>
      <x:c r="I463" s="15" t="n">
        <x:v>9201</x:v>
      </x:c>
      <x:c r="J463" s="15" t="n">
        <x:v>1665.21</x:v>
      </x:c>
      <x:c r="K463" t="str">
        <x:f>XLOOKUP(B463,Orders!A:A,Orders!E:E,"")</x:f>
        <x:v>West</x:v>
      </x:c>
      <x:c r="L463" t="n">
        <x:f>XLOOKUP(B463,Orders!A:A,Orders!B:B,"")</x:f>
        <x:v>46046</x:v>
      </x:c>
      <x:c r="M463" t="str">
        <x:f>XLOOKUP(C463,Products!A:A,Products!C:C,"")</x:f>
        <x:v>Office Supplies</x:v>
      </x:c>
    </x:row>
    <x:row r="464">
      <x:c r="A464" s="15" t="str">
        <x:v>ITEM00197_1</x:v>
      </x:c>
      <x:c r="B464" s="15" t="str">
        <x:v>ORD00197</x:v>
      </x:c>
      <x:c r="C464" s="15" t="str">
        <x:v>PROD003</x:v>
      </x:c>
      <x:c r="D464" s="15" t="n">
        <x:v>4</x:v>
      </x:c>
      <x:c r="E464" s="15" t="n">
        <x:v>10757.89</x:v>
      </x:c>
      <x:c r="F464" s="15" t="n">
        <x:v>0.15</x:v>
      </x:c>
      <x:c r="G464" s="15" t="n">
        <x:v>43031.56</x:v>
      </x:c>
      <x:c r="H464" s="15" t="n">
        <x:v>36576.83</x:v>
      </x:c>
      <x:c r="I464" s="15" t="n">
        <x:v>29684</x:v>
      </x:c>
      <x:c r="J464" s="15" t="n">
        <x:v>6892.83</x:v>
      </x:c>
      <x:c r="K464" t="str">
        <x:f>XLOOKUP(B464,Orders!A:A,Orders!E:E,"")</x:f>
        <x:v>West</x:v>
      </x:c>
      <x:c r="L464" t="n">
        <x:f>XLOOKUP(B464,Orders!A:A,Orders!B:B,"")</x:f>
        <x:v>46155</x:v>
      </x:c>
      <x:c r="M464" t="str">
        <x:f>XLOOKUP(C464,Products!A:A,Products!C:C,"")</x:f>
        <x:v>Accessories</x:v>
      </x:c>
    </x:row>
    <x:row r="465">
      <x:c r="A465" s="15" t="str">
        <x:v>ITEM00197_2</x:v>
      </x:c>
      <x:c r="B465" s="15" t="str">
        <x:v>ORD00197</x:v>
      </x:c>
      <x:c r="C465" s="15" t="str">
        <x:v>PROD026</x:v>
      </x:c>
      <x:c r="D465" s="15" t="n">
        <x:v>3</x:v>
      </x:c>
      <x:c r="E465" s="15" t="n">
        <x:v>3848.69</x:v>
      </x:c>
      <x:c r="F465" s="15" t="n">
        <x:v>0.1</x:v>
      </x:c>
      <x:c r="G465" s="15" t="n">
        <x:v>11546.07</x:v>
      </x:c>
      <x:c r="H465" s="15" t="n">
        <x:v>10391.46</x:v>
      </x:c>
      <x:c r="I465" s="15" t="n">
        <x:v>7902</x:v>
      </x:c>
      <x:c r="J465" s="15" t="n">
        <x:v>2489.46</x:v>
      </x:c>
      <x:c r="K465" t="str">
        <x:f>XLOOKUP(B465,Orders!A:A,Orders!E:E,"")</x:f>
        <x:v>West</x:v>
      </x:c>
      <x:c r="L465" t="n">
        <x:f>XLOOKUP(B465,Orders!A:A,Orders!B:B,"")</x:f>
        <x:v>46155</x:v>
      </x:c>
      <x:c r="M465" t="str">
        <x:f>XLOOKUP(C465,Products!A:A,Products!C:C,"")</x:f>
        <x:v>Accessories</x:v>
      </x:c>
    </x:row>
    <x:row r="466">
      <x:c r="A466" s="15" t="str">
        <x:v>ITEM00198_1</x:v>
      </x:c>
      <x:c r="B466" s="15" t="str">
        <x:v>ORD00198</x:v>
      </x:c>
      <x:c r="C466" s="15" t="str">
        <x:v>PROD021</x:v>
      </x:c>
      <x:c r="D466" s="15" t="n">
        <x:v>3</x:v>
      </x:c>
      <x:c r="E466" s="15" t="n">
        <x:v>6748.85</x:v>
      </x:c>
      <x:c r="F466" s="15" t="n">
        <x:v>0.05</x:v>
      </x:c>
      <x:c r="G466" s="15" t="n">
        <x:v>20246.55</x:v>
      </x:c>
      <x:c r="H466" s="15" t="n">
        <x:v>19234.22</x:v>
      </x:c>
      <x:c r="I466" s="15" t="n">
        <x:v>14997</x:v>
      </x:c>
      <x:c r="J466" s="15" t="n">
        <x:v>4237.22</x:v>
      </x:c>
      <x:c r="K466" t="str">
        <x:f>XLOOKUP(B466,Orders!A:A,Orders!E:E,"")</x:f>
        <x:v>West</x:v>
      </x:c>
      <x:c r="L466" t="n">
        <x:f>XLOOKUP(B466,Orders!A:A,Orders!B:B,"")</x:f>
        <x:v>45976</x:v>
      </x:c>
      <x:c r="M466" t="str">
        <x:f>XLOOKUP(C466,Products!A:A,Products!C:C,"")</x:f>
        <x:v>Electronics</x:v>
      </x:c>
    </x:row>
    <x:row r="467">
      <x:c r="A467" s="15" t="str">
        <x:v>ITEM00199_1</x:v>
      </x:c>
      <x:c r="B467" s="15" t="str">
        <x:v>ORD00199</x:v>
      </x:c>
      <x:c r="C467" s="15" t="str">
        <x:v>PROD029</x:v>
      </x:c>
      <x:c r="D467" s="15" t="n">
        <x:v>4</x:v>
      </x:c>
      <x:c r="E467" s="15" t="n">
        <x:v>8430.77</x:v>
      </x:c>
      <x:c r="F467" s="15" t="n">
        <x:v>0</x:v>
      </x:c>
      <x:c r="G467" s="15" t="n">
        <x:v>33723.08</x:v>
      </x:c>
      <x:c r="H467" s="15" t="n">
        <x:v>33723.08</x:v>
      </x:c>
      <x:c r="I467" s="15" t="n">
        <x:v>24740</x:v>
      </x:c>
      <x:c r="J467" s="15" t="n">
        <x:v>8983.08</x:v>
      </x:c>
      <x:c r="K467" t="str">
        <x:f>XLOOKUP(B467,Orders!A:A,Orders!E:E,"")</x:f>
        <x:v>North</x:v>
      </x:c>
      <x:c r="L467" t="n">
        <x:f>XLOOKUP(B467,Orders!A:A,Orders!B:B,"")</x:f>
        <x:v>46094</x:v>
      </x:c>
      <x:c r="M467" t="str">
        <x:f>XLOOKUP(C467,Products!A:A,Products!C:C,"")</x:f>
        <x:v>Office Supplies</x:v>
      </x:c>
    </x:row>
    <x:row r="468">
      <x:c r="A468" s="15" t="str">
        <x:v>ITEM00200_1</x:v>
      </x:c>
      <x:c r="B468" s="15" t="str">
        <x:v>ORD00200</x:v>
      </x:c>
      <x:c r="C468" s="15" t="str">
        <x:v>PROD040</x:v>
      </x:c>
      <x:c r="D468" s="15" t="n">
        <x:v>6</x:v>
      </x:c>
      <x:c r="E468" s="15" t="n">
        <x:v>8561.07</x:v>
      </x:c>
      <x:c r="F468" s="15" t="n">
        <x:v>0.1</x:v>
      </x:c>
      <x:c r="G468" s="15" t="n">
        <x:v>51366.42</x:v>
      </x:c>
      <x:c r="H468" s="15" t="n">
        <x:v>46229.78</x:v>
      </x:c>
      <x:c r="I468" s="15" t="n">
        <x:v>41046</x:v>
      </x:c>
      <x:c r="J468" s="15" t="n">
        <x:v>5183.78</x:v>
      </x:c>
      <x:c r="K468" t="str">
        <x:f>XLOOKUP(B468,Orders!A:A,Orders!E:E,"")</x:f>
        <x:v>North</x:v>
      </x:c>
      <x:c r="L468" t="n">
        <x:f>XLOOKUP(B468,Orders!A:A,Orders!B:B,"")</x:f>
        <x:v>45770</x:v>
      </x:c>
      <x:c r="M468" t="str">
        <x:f>XLOOKUP(C468,Products!A:A,Products!C:C,"")</x:f>
        <x:v>Electronics</x:v>
      </x:c>
    </x:row>
    <x:row r="469">
      <x:c r="A469" s="15" t="str">
        <x:v>ITEM00200_2</x:v>
      </x:c>
      <x:c r="B469" s="15" t="str">
        <x:v>ORD00200</x:v>
      </x:c>
      <x:c r="C469" s="15" t="str">
        <x:v>PROD006</x:v>
      </x:c>
      <x:c r="D469" s="15" t="n">
        <x:v>2</x:v>
      </x:c>
      <x:c r="E469" s="15" t="n">
        <x:v>4261.26</x:v>
      </x:c>
      <x:c r="F469" s="15" t="n">
        <x:v>0.05</x:v>
      </x:c>
      <x:c r="G469" s="15" t="n">
        <x:v>8522.52</x:v>
      </x:c>
      <x:c r="H469" s="15" t="n">
        <x:v>8096.39</x:v>
      </x:c>
      <x:c r="I469" s="15" t="n">
        <x:v>6134</x:v>
      </x:c>
      <x:c r="J469" s="15" t="n">
        <x:v>1962.39</x:v>
      </x:c>
      <x:c r="K469" t="str">
        <x:f>XLOOKUP(B469,Orders!A:A,Orders!E:E,"")</x:f>
        <x:v>North</x:v>
      </x:c>
      <x:c r="L469" t="n">
        <x:f>XLOOKUP(B469,Orders!A:A,Orders!B:B,"")</x:f>
        <x:v>45770</x:v>
      </x:c>
      <x:c r="M469" t="str">
        <x:f>XLOOKUP(C469,Products!A:A,Products!C:C,"")</x:f>
        <x:v>Office Supplies</x:v>
      </x:c>
    </x:row>
    <x:row r="470">
      <x:c r="A470" s="15" t="str">
        <x:v>ITEM00200_3</x:v>
      </x:c>
      <x:c r="B470" s="15" t="str">
        <x:v>ORD00200</x:v>
      </x:c>
      <x:c r="C470" s="15" t="str">
        <x:v>PROD033</x:v>
      </x:c>
      <x:c r="D470" s="15" t="n">
        <x:v>2</x:v>
      </x:c>
      <x:c r="E470" s="15" t="n">
        <x:v>3912.41</x:v>
      </x:c>
      <x:c r="F470" s="15" t="n">
        <x:v>0</x:v>
      </x:c>
      <x:c r="G470" s="15" t="n">
        <x:v>7824.82</x:v>
      </x:c>
      <x:c r="H470" s="15" t="n">
        <x:v>7824.82</x:v>
      </x:c>
      <x:c r="I470" s="15" t="n">
        <x:v>5982</x:v>
      </x:c>
      <x:c r="J470" s="15" t="n">
        <x:v>1842.82</x:v>
      </x:c>
      <x:c r="K470" t="str">
        <x:f>XLOOKUP(B470,Orders!A:A,Orders!E:E,"")</x:f>
        <x:v>North</x:v>
      </x:c>
      <x:c r="L470" t="n">
        <x:f>XLOOKUP(B470,Orders!A:A,Orders!B:B,"")</x:f>
        <x:v>45770</x:v>
      </x:c>
      <x:c r="M470" t="str">
        <x:f>XLOOKUP(C470,Products!A:A,Products!C:C,"")</x:f>
        <x:v>Furniture</x:v>
      </x:c>
    </x:row>
    <x:row r="471">
      <x:c r="A471" s="15" t="str">
        <x:v>ITEM00200_4</x:v>
      </x:c>
      <x:c r="B471" s="15" t="str">
        <x:v>ORD00200</x:v>
      </x:c>
      <x:c r="C471" s="15" t="str">
        <x:v>PROD006</x:v>
      </x:c>
      <x:c r="D471" s="15" t="n">
        <x:v>6</x:v>
      </x:c>
      <x:c r="E471" s="15" t="n">
        <x:v>4261.26</x:v>
      </x:c>
      <x:c r="F471" s="15" t="n">
        <x:v>0.05</x:v>
      </x:c>
      <x:c r="G471" s="15" t="n">
        <x:v>25567.56</x:v>
      </x:c>
      <x:c r="H471" s="15" t="n">
        <x:v>24289.18</x:v>
      </x:c>
      <x:c r="I471" s="15" t="n">
        <x:v>18402</x:v>
      </x:c>
      <x:c r="J471" s="15" t="n">
        <x:v>5887.18</x:v>
      </x:c>
      <x:c r="K471" t="str">
        <x:f>XLOOKUP(B471,Orders!A:A,Orders!E:E,"")</x:f>
        <x:v>North</x:v>
      </x:c>
      <x:c r="L471" t="n">
        <x:f>XLOOKUP(B471,Orders!A:A,Orders!B:B,"")</x:f>
        <x:v>45770</x:v>
      </x:c>
      <x:c r="M471" t="str">
        <x:f>XLOOKUP(C471,Products!A:A,Products!C:C,"")</x:f>
        <x:v>Office Supplies</x:v>
      </x:c>
    </x:row>
    <x:row r="472">
      <x:c r="A472" s="15" t="str">
        <x:v>ITEM00201_1</x:v>
      </x:c>
      <x:c r="B472" s="15" t="str">
        <x:v>ORD00201</x:v>
      </x:c>
      <x:c r="C472" s="15" t="str">
        <x:v>PROD022</x:v>
      </x:c>
      <x:c r="D472" s="15" t="n">
        <x:v>8</x:v>
      </x:c>
      <x:c r="E472" s="15" t="n">
        <x:v>7775.36</x:v>
      </x:c>
      <x:c r="F472" s="15" t="n">
        <x:v>0.1</x:v>
      </x:c>
      <x:c r="G472" s="15" t="n">
        <x:v>62202.88</x:v>
      </x:c>
      <x:c r="H472" s="15" t="n">
        <x:v>55982.59</x:v>
      </x:c>
      <x:c r="I472" s="15" t="n">
        <x:v>50648</x:v>
      </x:c>
      <x:c r="J472" s="15" t="n">
        <x:v>5334.59</x:v>
      </x:c>
      <x:c r="K472" t="str">
        <x:f>XLOOKUP(B472,Orders!A:A,Orders!E:E,"")</x:f>
        <x:v>North</x:v>
      </x:c>
      <x:c r="L472" t="n">
        <x:f>XLOOKUP(B472,Orders!A:A,Orders!B:B,"")</x:f>
        <x:v>45862</x:v>
      </x:c>
      <x:c r="M472" t="str">
        <x:f>XLOOKUP(C472,Products!A:A,Products!C:C,"")</x:f>
        <x:v>Furniture</x:v>
      </x:c>
    </x:row>
    <x:row r="473">
      <x:c r="A473" s="15" t="str">
        <x:v>ITEM00201_2</x:v>
      </x:c>
      <x:c r="B473" s="15" t="str">
        <x:v>ORD00201</x:v>
      </x:c>
      <x:c r="C473" s="15" t="str">
        <x:v>PROD012</x:v>
      </x:c>
      <x:c r="D473" s="15" t="n">
        <x:v>2</x:v>
      </x:c>
      <x:c r="E473" s="15" t="n">
        <x:v>7989.38</x:v>
      </x:c>
      <x:c r="F473" s="15" t="n">
        <x:v>0.05</x:v>
      </x:c>
      <x:c r="G473" s="15" t="n">
        <x:v>15978.76</x:v>
      </x:c>
      <x:c r="H473" s="15" t="n">
        <x:v>15179.82</x:v>
      </x:c>
      <x:c r="I473" s="15" t="n">
        <x:v>12970</x:v>
      </x:c>
      <x:c r="J473" s="15" t="n">
        <x:v>2209.82</x:v>
      </x:c>
      <x:c r="K473" t="str">
        <x:f>XLOOKUP(B473,Orders!A:A,Orders!E:E,"")</x:f>
        <x:v>North</x:v>
      </x:c>
      <x:c r="L473" t="n">
        <x:f>XLOOKUP(B473,Orders!A:A,Orders!B:B,"")</x:f>
        <x:v>45862</x:v>
      </x:c>
      <x:c r="M473" t="str">
        <x:f>XLOOKUP(C473,Products!A:A,Products!C:C,"")</x:f>
        <x:v>Electronics</x:v>
      </x:c>
    </x:row>
    <x:row r="474">
      <x:c r="A474" s="15" t="str">
        <x:v>ITEM00202_1</x:v>
      </x:c>
      <x:c r="B474" s="15" t="str">
        <x:v>ORD00202</x:v>
      </x:c>
      <x:c r="C474" s="15" t="str">
        <x:v>PROD010</x:v>
      </x:c>
      <x:c r="D474" s="15" t="n">
        <x:v>3</x:v>
      </x:c>
      <x:c r="E474" s="15" t="n">
        <x:v>8670.63</x:v>
      </x:c>
      <x:c r="F474" s="15" t="n">
        <x:v>0.15</x:v>
      </x:c>
      <x:c r="G474" s="15" t="n">
        <x:v>26011.89</x:v>
      </x:c>
      <x:c r="H474" s="15" t="n">
        <x:v>22110.11</x:v>
      </x:c>
      <x:c r="I474" s="15" t="n">
        <x:v>17559</x:v>
      </x:c>
      <x:c r="J474" s="15" t="n">
        <x:v>4551.11</x:v>
      </x:c>
      <x:c r="K474" t="str">
        <x:f>XLOOKUP(B474,Orders!A:A,Orders!E:E,"")</x:f>
        <x:v>East</x:v>
      </x:c>
      <x:c r="L474" t="n">
        <x:f>XLOOKUP(B474,Orders!A:A,Orders!B:B,"")</x:f>
        <x:v>45760</x:v>
      </x:c>
      <x:c r="M474" t="str">
        <x:f>XLOOKUP(C474,Products!A:A,Products!C:C,"")</x:f>
        <x:v>Accessories</x:v>
      </x:c>
    </x:row>
    <x:row r="475">
      <x:c r="A475" s="15" t="str">
        <x:v>ITEM00202_2</x:v>
      </x:c>
      <x:c r="B475" s="15" t="str">
        <x:v>ORD00202</x:v>
      </x:c>
      <x:c r="C475" s="15" t="str">
        <x:v>PROD038</x:v>
      </x:c>
      <x:c r="D475" s="15" t="n">
        <x:v>6</x:v>
      </x:c>
      <x:c r="E475" s="15" t="n">
        <x:v>5219.7</x:v>
      </x:c>
      <x:c r="F475" s="15" t="n">
        <x:v>0</x:v>
      </x:c>
      <x:c r="G475" s="15" t="n">
        <x:v>31318.2</x:v>
      </x:c>
      <x:c r="H475" s="15" t="n">
        <x:v>31318.2</x:v>
      </x:c>
      <x:c r="I475" s="15" t="n">
        <x:v>23616</x:v>
      </x:c>
      <x:c r="J475" s="15" t="n">
        <x:v>7702.2</x:v>
      </x:c>
      <x:c r="K475" t="str">
        <x:f>XLOOKUP(B475,Orders!A:A,Orders!E:E,"")</x:f>
        <x:v>East</x:v>
      </x:c>
      <x:c r="L475" t="n">
        <x:f>XLOOKUP(B475,Orders!A:A,Orders!B:B,"")</x:f>
        <x:v>45760</x:v>
      </x:c>
      <x:c r="M475" t="str">
        <x:f>XLOOKUP(C475,Products!A:A,Products!C:C,"")</x:f>
        <x:v>Office Supplies</x:v>
      </x:c>
    </x:row>
    <x:row r="476">
      <x:c r="A476" s="15" t="str">
        <x:v>ITEM00202_3</x:v>
      </x:c>
      <x:c r="B476" s="15" t="str">
        <x:v>ORD00202</x:v>
      </x:c>
      <x:c r="C476" s="15" t="str">
        <x:v>PROD035</x:v>
      </x:c>
      <x:c r="D476" s="15" t="n">
        <x:v>1</x:v>
      </x:c>
      <x:c r="E476" s="15" t="n">
        <x:v>3972.26</x:v>
      </x:c>
      <x:c r="F476" s="15" t="n">
        <x:v>0</x:v>
      </x:c>
      <x:c r="G476" s="15" t="n">
        <x:v>3972.26</x:v>
      </x:c>
      <x:c r="H476" s="15" t="n">
        <x:v>3972.26</x:v>
      </x:c>
      <x:c r="I476" s="15" t="n">
        <x:v>3187</x:v>
      </x:c>
      <x:c r="J476" s="15" t="n">
        <x:v>785.26</x:v>
      </x:c>
      <x:c r="K476" t="str">
        <x:f>XLOOKUP(B476,Orders!A:A,Orders!E:E,"")</x:f>
        <x:v>East</x:v>
      </x:c>
      <x:c r="L476" t="n">
        <x:f>XLOOKUP(B476,Orders!A:A,Orders!B:B,"")</x:f>
        <x:v>45760</x:v>
      </x:c>
      <x:c r="M476" t="str">
        <x:f>XLOOKUP(C476,Products!A:A,Products!C:C,"")</x:f>
        <x:v>Electronics</x:v>
      </x:c>
    </x:row>
    <x:row r="477">
      <x:c r="A477" s="15" t="str">
        <x:v>ITEM00203_1</x:v>
      </x:c>
      <x:c r="B477" s="15" t="str">
        <x:v>ORD00203</x:v>
      </x:c>
      <x:c r="C477" s="15" t="str">
        <x:v>PROD028</x:v>
      </x:c>
      <x:c r="D477" s="15" t="n">
        <x:v>4</x:v>
      </x:c>
      <x:c r="E477" s="15" t="n">
        <x:v>4640.74</x:v>
      </x:c>
      <x:c r="F477" s="15" t="n">
        <x:v>0</x:v>
      </x:c>
      <x:c r="G477" s="15" t="n">
        <x:v>18562.96</x:v>
      </x:c>
      <x:c r="H477" s="15" t="n">
        <x:v>18562.96</x:v>
      </x:c>
      <x:c r="I477" s="15" t="n">
        <x:v>14136</x:v>
      </x:c>
      <x:c r="J477" s="15" t="n">
        <x:v>4426.96</x:v>
      </x:c>
      <x:c r="K477" t="str">
        <x:f>XLOOKUP(B477,Orders!A:A,Orders!E:E,"")</x:f>
        <x:v>East</x:v>
      </x:c>
      <x:c r="L477" t="n">
        <x:f>XLOOKUP(B477,Orders!A:A,Orders!B:B,"")</x:f>
        <x:v>45826</x:v>
      </x:c>
      <x:c r="M477" t="str">
        <x:f>XLOOKUP(C477,Products!A:A,Products!C:C,"")</x:f>
        <x:v>Office Supplies</x:v>
      </x:c>
    </x:row>
    <x:row r="478">
      <x:c r="A478" s="15" t="str">
        <x:v>ITEM00203_2</x:v>
      </x:c>
      <x:c r="B478" s="15" t="str">
        <x:v>ORD00203</x:v>
      </x:c>
      <x:c r="C478" s="15" t="str">
        <x:v>PROD027</x:v>
      </x:c>
      <x:c r="D478" s="15" t="n">
        <x:v>2</x:v>
      </x:c>
      <x:c r="E478" s="15" t="n">
        <x:v>6979.71</x:v>
      </x:c>
      <x:c r="F478" s="15" t="n">
        <x:v>0.1</x:v>
      </x:c>
      <x:c r="G478" s="15" t="n">
        <x:v>13959.42</x:v>
      </x:c>
      <x:c r="H478" s="15" t="n">
        <x:v>12563.48</x:v>
      </x:c>
      <x:c r="I478" s="15" t="n">
        <x:v>11274</x:v>
      </x:c>
      <x:c r="J478" s="15" t="n">
        <x:v>1289.48</x:v>
      </x:c>
      <x:c r="K478" t="str">
        <x:f>XLOOKUP(B478,Orders!A:A,Orders!E:E,"")</x:f>
        <x:v>East</x:v>
      </x:c>
      <x:c r="L478" t="n">
        <x:f>XLOOKUP(B478,Orders!A:A,Orders!B:B,"")</x:f>
        <x:v>45826</x:v>
      </x:c>
      <x:c r="M478" t="str">
        <x:f>XLOOKUP(C478,Products!A:A,Products!C:C,"")</x:f>
        <x:v>Electronics</x:v>
      </x:c>
    </x:row>
    <x:row r="479">
      <x:c r="A479" s="15" t="str">
        <x:v>ITEM00203_3</x:v>
      </x:c>
      <x:c r="B479" s="15" t="str">
        <x:v>ORD00203</x:v>
      </x:c>
      <x:c r="C479" s="15" t="str">
        <x:v>PROD008</x:v>
      </x:c>
      <x:c r="D479" s="15" t="n">
        <x:v>2</x:v>
      </x:c>
      <x:c r="E479" s="15" t="n">
        <x:v>8534.48</x:v>
      </x:c>
      <x:c r="F479" s="15" t="n">
        <x:v>0.1</x:v>
      </x:c>
      <x:c r="G479" s="15" t="n">
        <x:v>17068.96</x:v>
      </x:c>
      <x:c r="H479" s="15" t="n">
        <x:v>15362.06</x:v>
      </x:c>
      <x:c r="I479" s="15" t="n">
        <x:v>12394</x:v>
      </x:c>
      <x:c r="J479" s="15" t="n">
        <x:v>2968.06</x:v>
      </x:c>
      <x:c r="K479" t="str">
        <x:f>XLOOKUP(B479,Orders!A:A,Orders!E:E,"")</x:f>
        <x:v>East</x:v>
      </x:c>
      <x:c r="L479" t="n">
        <x:f>XLOOKUP(B479,Orders!A:A,Orders!B:B,"")</x:f>
        <x:v>45826</x:v>
      </x:c>
      <x:c r="M479" t="str">
        <x:f>XLOOKUP(C479,Products!A:A,Products!C:C,"")</x:f>
        <x:v>Office Supplies</x:v>
      </x:c>
    </x:row>
    <x:row r="480">
      <x:c r="A480" s="15" t="str">
        <x:v>ITEM00203_4</x:v>
      </x:c>
      <x:c r="B480" s="15" t="str">
        <x:v>ORD00203</x:v>
      </x:c>
      <x:c r="C480" s="15" t="str">
        <x:v>PROD018</x:v>
      </x:c>
      <x:c r="D480" s="15" t="n">
        <x:v>8</x:v>
      </x:c>
      <x:c r="E480" s="15" t="n">
        <x:v>5637.8</x:v>
      </x:c>
      <x:c r="F480" s="15" t="n">
        <x:v>0.1</x:v>
      </x:c>
      <x:c r="G480" s="15" t="n">
        <x:v>45102.4</x:v>
      </x:c>
      <x:c r="H480" s="15" t="n">
        <x:v>40592.16</x:v>
      </x:c>
      <x:c r="I480" s="15" t="n">
        <x:v>33688</x:v>
      </x:c>
      <x:c r="J480" s="15" t="n">
        <x:v>6904.16</x:v>
      </x:c>
      <x:c r="K480" t="str">
        <x:f>XLOOKUP(B480,Orders!A:A,Orders!E:E,"")</x:f>
        <x:v>East</x:v>
      </x:c>
      <x:c r="L480" t="n">
        <x:f>XLOOKUP(B480,Orders!A:A,Orders!B:B,"")</x:f>
        <x:v>45826</x:v>
      </x:c>
      <x:c r="M480" t="str">
        <x:f>XLOOKUP(C480,Products!A:A,Products!C:C,"")</x:f>
        <x:v>Electronics</x:v>
      </x:c>
    </x:row>
    <x:row r="481">
      <x:c r="A481" s="15" t="str">
        <x:v>ITEM00204_1</x:v>
      </x:c>
      <x:c r="B481" s="15" t="str">
        <x:v>ORD00204</x:v>
      </x:c>
      <x:c r="C481" s="15" t="str">
        <x:v>PROD002</x:v>
      </x:c>
      <x:c r="D481" s="15" t="n">
        <x:v>2</x:v>
      </x:c>
      <x:c r="E481" s="15" t="n">
        <x:v>4655.92</x:v>
      </x:c>
      <x:c r="F481" s="15" t="n">
        <x:v>0.1</x:v>
      </x:c>
      <x:c r="G481" s="15" t="n">
        <x:v>9311.84</x:v>
      </x:c>
      <x:c r="H481" s="15" t="n">
        <x:v>8380.66</x:v>
      </x:c>
      <x:c r="I481" s="15" t="n">
        <x:v>6266</x:v>
      </x:c>
      <x:c r="J481" s="15" t="n">
        <x:v>2114.66</x:v>
      </x:c>
      <x:c r="K481" t="str">
        <x:f>XLOOKUP(B481,Orders!A:A,Orders!E:E,"")</x:f>
        <x:v>South</x:v>
      </x:c>
      <x:c r="L481" t="n">
        <x:f>XLOOKUP(B481,Orders!A:A,Orders!B:B,"")</x:f>
        <x:v>45723</x:v>
      </x:c>
      <x:c r="M481" t="str">
        <x:f>XLOOKUP(C481,Products!A:A,Products!C:C,"")</x:f>
        <x:v>Accessories</x:v>
      </x:c>
    </x:row>
    <x:row r="482">
      <x:c r="A482" s="15" t="str">
        <x:v>ITEM00204_2</x:v>
      </x:c>
      <x:c r="B482" s="15" t="str">
        <x:v>ORD00204</x:v>
      </x:c>
      <x:c r="C482" s="15" t="str">
        <x:v>PROD033</x:v>
      </x:c>
      <x:c r="D482" s="15" t="n">
        <x:v>7</x:v>
      </x:c>
      <x:c r="E482" s="15" t="n">
        <x:v>3912.41</x:v>
      </x:c>
      <x:c r="F482" s="15" t="n">
        <x:v>0.15</x:v>
      </x:c>
      <x:c r="G482" s="15" t="n">
        <x:v>27386.87</x:v>
      </x:c>
      <x:c r="H482" s="15" t="n">
        <x:v>23278.84</x:v>
      </x:c>
      <x:c r="I482" s="15" t="n">
        <x:v>20937</x:v>
      </x:c>
      <x:c r="J482" s="15" t="n">
        <x:v>2341.84</x:v>
      </x:c>
      <x:c r="K482" t="str">
        <x:f>XLOOKUP(B482,Orders!A:A,Orders!E:E,"")</x:f>
        <x:v>South</x:v>
      </x:c>
      <x:c r="L482" t="n">
        <x:f>XLOOKUP(B482,Orders!A:A,Orders!B:B,"")</x:f>
        <x:v>45723</x:v>
      </x:c>
      <x:c r="M482" t="str">
        <x:f>XLOOKUP(C482,Products!A:A,Products!C:C,"")</x:f>
        <x:v>Furniture</x:v>
      </x:c>
    </x:row>
    <x:row r="483">
      <x:c r="A483" s="15" t="str">
        <x:v>ITEM00204_3</x:v>
      </x:c>
      <x:c r="B483" s="15" t="str">
        <x:v>ORD00204</x:v>
      </x:c>
      <x:c r="C483" s="15" t="str">
        <x:v>PROD039</x:v>
      </x:c>
      <x:c r="D483" s="15" t="n">
        <x:v>3</x:v>
      </x:c>
      <x:c r="E483" s="15" t="n">
        <x:v>5945.62</x:v>
      </x:c>
      <x:c r="F483" s="15" t="n">
        <x:v>0</x:v>
      </x:c>
      <x:c r="G483" s="15" t="n">
        <x:v>17836.86</x:v>
      </x:c>
      <x:c r="H483" s="15" t="n">
        <x:v>17836.86</x:v>
      </x:c>
      <x:c r="I483" s="15" t="n">
        <x:v>13719</x:v>
      </x:c>
      <x:c r="J483" s="15" t="n">
        <x:v>4117.86</x:v>
      </x:c>
      <x:c r="K483" t="str">
        <x:f>XLOOKUP(B483,Orders!A:A,Orders!E:E,"")</x:f>
        <x:v>South</x:v>
      </x:c>
      <x:c r="L483" t="n">
        <x:f>XLOOKUP(B483,Orders!A:A,Orders!B:B,"")</x:f>
        <x:v>45723</x:v>
      </x:c>
      <x:c r="M483" t="str">
        <x:f>XLOOKUP(C483,Products!A:A,Products!C:C,"")</x:f>
        <x:v>Office Supplies</x:v>
      </x:c>
    </x:row>
    <x:row r="484">
      <x:c r="A484" s="15" t="str">
        <x:v>ITEM00204_4</x:v>
      </x:c>
      <x:c r="B484" s="15" t="str">
        <x:v>ORD00204</x:v>
      </x:c>
      <x:c r="C484" s="15" t="str">
        <x:v>PROD039</x:v>
      </x:c>
      <x:c r="D484" s="15" t="n">
        <x:v>4</x:v>
      </x:c>
      <x:c r="E484" s="15" t="n">
        <x:v>5945.62</x:v>
      </x:c>
      <x:c r="F484" s="15" t="n">
        <x:v>0.15</x:v>
      </x:c>
      <x:c r="G484" s="15" t="n">
        <x:v>23782.48</x:v>
      </x:c>
      <x:c r="H484" s="15" t="n">
        <x:v>20215.11</x:v>
      </x:c>
      <x:c r="I484" s="15" t="n">
        <x:v>18292</x:v>
      </x:c>
      <x:c r="J484" s="15" t="n">
        <x:v>1923.11</x:v>
      </x:c>
      <x:c r="K484" t="str">
        <x:f>XLOOKUP(B484,Orders!A:A,Orders!E:E,"")</x:f>
        <x:v>South</x:v>
      </x:c>
      <x:c r="L484" t="n">
        <x:f>XLOOKUP(B484,Orders!A:A,Orders!B:B,"")</x:f>
        <x:v>45723</x:v>
      </x:c>
      <x:c r="M484" t="str">
        <x:f>XLOOKUP(C484,Products!A:A,Products!C:C,"")</x:f>
        <x:v>Office Supplies</x:v>
      </x:c>
    </x:row>
    <x:row r="485">
      <x:c r="A485" s="15" t="str">
        <x:v>ITEM00205_1</x:v>
      </x:c>
      <x:c r="B485" s="15" t="str">
        <x:v>ORD00205</x:v>
      </x:c>
      <x:c r="C485" s="15" t="str">
        <x:v>PROD020</x:v>
      </x:c>
      <x:c r="D485" s="15" t="n">
        <x:v>3</x:v>
      </x:c>
      <x:c r="E485" s="15" t="n">
        <x:v>6564.04</x:v>
      </x:c>
      <x:c r="F485" s="15" t="n">
        <x:v>0.05</x:v>
      </x:c>
      <x:c r="G485" s="15" t="n">
        <x:v>19692.12</x:v>
      </x:c>
      <x:c r="H485" s="15" t="n">
        <x:v>18707.51</x:v>
      </x:c>
      <x:c r="I485" s="15" t="n">
        <x:v>13755</x:v>
      </x:c>
      <x:c r="J485" s="15" t="n">
        <x:v>4952.51</x:v>
      </x:c>
      <x:c r="K485" t="str">
        <x:f>XLOOKUP(B485,Orders!A:A,Orders!E:E,"")</x:f>
        <x:v>East</x:v>
      </x:c>
      <x:c r="L485" t="n">
        <x:f>XLOOKUP(B485,Orders!A:A,Orders!B:B,"")</x:f>
        <x:v>46026</x:v>
      </x:c>
      <x:c r="M485" t="str">
        <x:f>XLOOKUP(C485,Products!A:A,Products!C:C,"")</x:f>
        <x:v>Accessories</x:v>
      </x:c>
    </x:row>
    <x:row r="486">
      <x:c r="A486" s="15" t="str">
        <x:v>ITEM00205_2</x:v>
      </x:c>
      <x:c r="B486" s="15" t="str">
        <x:v>ORD00205</x:v>
      </x:c>
      <x:c r="C486" s="15" t="str">
        <x:v>PROD005</x:v>
      </x:c>
      <x:c r="D486" s="15" t="n">
        <x:v>7</x:v>
      </x:c>
      <x:c r="E486" s="15" t="n">
        <x:v>6453.62</x:v>
      </x:c>
      <x:c r="F486" s="15" t="n">
        <x:v>0.05</x:v>
      </x:c>
      <x:c r="G486" s="15" t="n">
        <x:v>45175.34</x:v>
      </x:c>
      <x:c r="H486" s="15" t="n">
        <x:v>42916.57</x:v>
      </x:c>
      <x:c r="I486" s="15" t="n">
        <x:v>33936</x:v>
      </x:c>
      <x:c r="J486" s="15" t="n">
        <x:v>8980.57</x:v>
      </x:c>
      <x:c r="K486" t="str">
        <x:f>XLOOKUP(B486,Orders!A:A,Orders!E:E,"")</x:f>
        <x:v>East</x:v>
      </x:c>
      <x:c r="L486" t="n">
        <x:f>XLOOKUP(B486,Orders!A:A,Orders!B:B,"")</x:f>
        <x:v>46026</x:v>
      </x:c>
      <x:c r="M486" t="str">
        <x:f>XLOOKUP(C486,Products!A:A,Products!C:C,"")</x:f>
        <x:v>Office Supplies</x:v>
      </x:c>
    </x:row>
    <x:row r="487">
      <x:c r="A487" s="15" t="str">
        <x:v>ITEM00205_3</x:v>
      </x:c>
      <x:c r="B487" s="15" t="str">
        <x:v>ORD00205</x:v>
      </x:c>
      <x:c r="C487" s="15" t="str">
        <x:v>PROD015</x:v>
      </x:c>
      <x:c r="D487" s="15" t="n">
        <x:v>7</x:v>
      </x:c>
      <x:c r="E487" s="15" t="n">
        <x:v>5903.1</x:v>
      </x:c>
      <x:c r="F487" s="15" t="n">
        <x:v>0.05</x:v>
      </x:c>
      <x:c r="G487" s="15" t="n">
        <x:v>41321.7</x:v>
      </x:c>
      <x:c r="H487" s="15" t="n">
        <x:v>39255.61</x:v>
      </x:c>
      <x:c r="I487" s="15" t="n">
        <x:v>33495</x:v>
      </x:c>
      <x:c r="J487" s="15" t="n">
        <x:v>5760.61</x:v>
      </x:c>
      <x:c r="K487" t="str">
        <x:f>XLOOKUP(B487,Orders!A:A,Orders!E:E,"")</x:f>
        <x:v>East</x:v>
      </x:c>
      <x:c r="L487" t="n">
        <x:f>XLOOKUP(B487,Orders!A:A,Orders!B:B,"")</x:f>
        <x:v>46026</x:v>
      </x:c>
      <x:c r="M487" t="str">
        <x:f>XLOOKUP(C487,Products!A:A,Products!C:C,"")</x:f>
        <x:v>Electronics</x:v>
      </x:c>
    </x:row>
    <x:row r="488">
      <x:c r="A488" s="15" t="str">
        <x:v>ITEM00205_4</x:v>
      </x:c>
      <x:c r="B488" s="15" t="str">
        <x:v>ORD00205</x:v>
      </x:c>
      <x:c r="C488" s="15" t="str">
        <x:v>PROD033</x:v>
      </x:c>
      <x:c r="D488" s="15" t="n">
        <x:v>6</x:v>
      </x:c>
      <x:c r="E488" s="15" t="n">
        <x:v>3912.41</x:v>
      </x:c>
      <x:c r="F488" s="15" t="n">
        <x:v>0.15</x:v>
      </x:c>
      <x:c r="G488" s="15" t="n">
        <x:v>23474.46</x:v>
      </x:c>
      <x:c r="H488" s="15" t="n">
        <x:v>19953.29</x:v>
      </x:c>
      <x:c r="I488" s="15" t="n">
        <x:v>17946</x:v>
      </x:c>
      <x:c r="J488" s="15" t="n">
        <x:v>2007.29</x:v>
      </x:c>
      <x:c r="K488" t="str">
        <x:f>XLOOKUP(B488,Orders!A:A,Orders!E:E,"")</x:f>
        <x:v>East</x:v>
      </x:c>
      <x:c r="L488" t="n">
        <x:f>XLOOKUP(B488,Orders!A:A,Orders!B:B,"")</x:f>
        <x:v>46026</x:v>
      </x:c>
      <x:c r="M488" t="str">
        <x:f>XLOOKUP(C488,Products!A:A,Products!C:C,"")</x:f>
        <x:v>Furniture</x:v>
      </x:c>
    </x:row>
    <x:row r="489">
      <x:c r="A489" s="15" t="str">
        <x:v>ITEM00206_1</x:v>
      </x:c>
      <x:c r="B489" s="15" t="str">
        <x:v>ORD00206</x:v>
      </x:c>
      <x:c r="C489" s="15" t="str">
        <x:v>PROD011</x:v>
      </x:c>
      <x:c r="D489" s="15" t="n">
        <x:v>6</x:v>
      </x:c>
      <x:c r="E489" s="15" t="n">
        <x:v>7135.27</x:v>
      </x:c>
      <x:c r="F489" s="15" t="n">
        <x:v>0</x:v>
      </x:c>
      <x:c r="G489" s="15" t="n">
        <x:v>42811.62</x:v>
      </x:c>
      <x:c r="H489" s="15" t="n">
        <x:v>42811.62</x:v>
      </x:c>
      <x:c r="I489" s="15" t="n">
        <x:v>31218</x:v>
      </x:c>
      <x:c r="J489" s="15" t="n">
        <x:v>11593.62</x:v>
      </x:c>
      <x:c r="K489" t="str">
        <x:f>XLOOKUP(B489,Orders!A:A,Orders!E:E,"")</x:f>
        <x:v>North</x:v>
      </x:c>
      <x:c r="L489" t="n">
        <x:f>XLOOKUP(B489,Orders!A:A,Orders!B:B,"")</x:f>
        <x:v>45879</x:v>
      </x:c>
      <x:c r="M489" t="str">
        <x:f>XLOOKUP(C489,Products!A:A,Products!C:C,"")</x:f>
        <x:v>Accessories</x:v>
      </x:c>
    </x:row>
    <x:row r="490">
      <x:c r="A490" s="15" t="str">
        <x:v>ITEM00206_2</x:v>
      </x:c>
      <x:c r="B490" s="15" t="str">
        <x:v>ORD00206</x:v>
      </x:c>
      <x:c r="C490" s="15" t="str">
        <x:v>PROD037</x:v>
      </x:c>
      <x:c r="D490" s="15" t="n">
        <x:v>5</x:v>
      </x:c>
      <x:c r="E490" s="15" t="n">
        <x:v>9876.8</x:v>
      </x:c>
      <x:c r="F490" s="15" t="n">
        <x:v>0.1</x:v>
      </x:c>
      <x:c r="G490" s="15" t="n">
        <x:v>49384</x:v>
      </x:c>
      <x:c r="H490" s="15" t="n">
        <x:v>44445.6</x:v>
      </x:c>
      <x:c r="I490" s="15" t="n">
        <x:v>35620</x:v>
      </x:c>
      <x:c r="J490" s="15" t="n">
        <x:v>8825.6</x:v>
      </x:c>
      <x:c r="K490" t="str">
        <x:f>XLOOKUP(B490,Orders!A:A,Orders!E:E,"")</x:f>
        <x:v>North</x:v>
      </x:c>
      <x:c r="L490" t="n">
        <x:f>XLOOKUP(B490,Orders!A:A,Orders!B:B,"")</x:f>
        <x:v>45879</x:v>
      </x:c>
      <x:c r="M490" t="str">
        <x:f>XLOOKUP(C490,Products!A:A,Products!C:C,"")</x:f>
        <x:v>Accessories</x:v>
      </x:c>
    </x:row>
    <x:row r="491">
      <x:c r="A491" s="15" t="str">
        <x:v>ITEM00206_3</x:v>
      </x:c>
      <x:c r="B491" s="15" t="str">
        <x:v>ORD00206</x:v>
      </x:c>
      <x:c r="C491" s="15" t="str">
        <x:v>PROD005</x:v>
      </x:c>
      <x:c r="D491" s="15" t="n">
        <x:v>2</x:v>
      </x:c>
      <x:c r="E491" s="15" t="n">
        <x:v>6453.62</x:v>
      </x:c>
      <x:c r="F491" s="15" t="n">
        <x:v>0</x:v>
      </x:c>
      <x:c r="G491" s="15" t="n">
        <x:v>12907.24</x:v>
      </x:c>
      <x:c r="H491" s="15" t="n">
        <x:v>12907.24</x:v>
      </x:c>
      <x:c r="I491" s="15" t="n">
        <x:v>9696</x:v>
      </x:c>
      <x:c r="J491" s="15" t="n">
        <x:v>3211.24</x:v>
      </x:c>
      <x:c r="K491" t="str">
        <x:f>XLOOKUP(B491,Orders!A:A,Orders!E:E,"")</x:f>
        <x:v>North</x:v>
      </x:c>
      <x:c r="L491" t="n">
        <x:f>XLOOKUP(B491,Orders!A:A,Orders!B:B,"")</x:f>
        <x:v>45879</x:v>
      </x:c>
      <x:c r="M491" t="str">
        <x:f>XLOOKUP(C491,Products!A:A,Products!C:C,"")</x:f>
        <x:v>Office Supplies</x:v>
      </x:c>
    </x:row>
    <x:row r="492">
      <x:c r="A492" s="15" t="str">
        <x:v>ITEM00206_4</x:v>
      </x:c>
      <x:c r="B492" s="15" t="str">
        <x:v>ORD00206</x:v>
      </x:c>
      <x:c r="C492" s="15" t="str">
        <x:v>PROD005</x:v>
      </x:c>
      <x:c r="D492" s="15" t="n">
        <x:v>4</x:v>
      </x:c>
      <x:c r="E492" s="15" t="n">
        <x:v>6453.62</x:v>
      </x:c>
      <x:c r="F492" s="15" t="n">
        <x:v>0.05</x:v>
      </x:c>
      <x:c r="G492" s="15" t="n">
        <x:v>25814.48</x:v>
      </x:c>
      <x:c r="H492" s="15" t="n">
        <x:v>24523.76</x:v>
      </x:c>
      <x:c r="I492" s="15" t="n">
        <x:v>19392</x:v>
      </x:c>
      <x:c r="J492" s="15" t="n">
        <x:v>5131.76</x:v>
      </x:c>
      <x:c r="K492" t="str">
        <x:f>XLOOKUP(B492,Orders!A:A,Orders!E:E,"")</x:f>
        <x:v>North</x:v>
      </x:c>
      <x:c r="L492" t="n">
        <x:f>XLOOKUP(B492,Orders!A:A,Orders!B:B,"")</x:f>
        <x:v>45879</x:v>
      </x:c>
      <x:c r="M492" t="str">
        <x:f>XLOOKUP(C492,Products!A:A,Products!C:C,"")</x:f>
        <x:v>Office Supplies</x:v>
      </x:c>
    </x:row>
    <x:row r="493">
      <x:c r="A493" s="15" t="str">
        <x:v>ITEM00207_1</x:v>
      </x:c>
      <x:c r="B493" s="15" t="str">
        <x:v>ORD00207</x:v>
      </x:c>
      <x:c r="C493" s="15" t="str">
        <x:v>PROD020</x:v>
      </x:c>
      <x:c r="D493" s="15" t="n">
        <x:v>2</x:v>
      </x:c>
      <x:c r="E493" s="15" t="n">
        <x:v>6564.04</x:v>
      </x:c>
      <x:c r="F493" s="15" t="n">
        <x:v>0.15</x:v>
      </x:c>
      <x:c r="G493" s="15" t="n">
        <x:v>13128.08</x:v>
      </x:c>
      <x:c r="H493" s="15" t="n">
        <x:v>11158.87</x:v>
      </x:c>
      <x:c r="I493" s="15" t="n">
        <x:v>9170</x:v>
      </x:c>
      <x:c r="J493" s="15" t="n">
        <x:v>1988.87</x:v>
      </x:c>
      <x:c r="K493" t="str">
        <x:f>XLOOKUP(B493,Orders!A:A,Orders!E:E,"")</x:f>
        <x:v>East</x:v>
      </x:c>
      <x:c r="L493" t="n">
        <x:f>XLOOKUP(B493,Orders!A:A,Orders!B:B,"")</x:f>
        <x:v>45988</x:v>
      </x:c>
      <x:c r="M493" t="str">
        <x:f>XLOOKUP(C493,Products!A:A,Products!C:C,"")</x:f>
        <x:v>Accessories</x:v>
      </x:c>
    </x:row>
    <x:row r="494">
      <x:c r="A494" s="15" t="str">
        <x:v>ITEM00207_2</x:v>
      </x:c>
      <x:c r="B494" s="15" t="str">
        <x:v>ORD00207</x:v>
      </x:c>
      <x:c r="C494" s="15" t="str">
        <x:v>PROD019</x:v>
      </x:c>
      <x:c r="D494" s="15" t="n">
        <x:v>4</x:v>
      </x:c>
      <x:c r="E494" s="15" t="n">
        <x:v>5996.29</x:v>
      </x:c>
      <x:c r="F494" s="15" t="n">
        <x:v>0.05</x:v>
      </x:c>
      <x:c r="G494" s="15" t="n">
        <x:v>23985.16</x:v>
      </x:c>
      <x:c r="H494" s="15" t="n">
        <x:v>22785.9</x:v>
      </x:c>
      <x:c r="I494" s="15" t="n">
        <x:v>18040</x:v>
      </x:c>
      <x:c r="J494" s="15" t="n">
        <x:v>4745.9</x:v>
      </x:c>
      <x:c r="K494" t="str">
        <x:f>XLOOKUP(B494,Orders!A:A,Orders!E:E,"")</x:f>
        <x:v>East</x:v>
      </x:c>
      <x:c r="L494" t="n">
        <x:f>XLOOKUP(B494,Orders!A:A,Orders!B:B,"")</x:f>
        <x:v>45988</x:v>
      </x:c>
      <x:c r="M494" t="str">
        <x:f>XLOOKUP(C494,Products!A:A,Products!C:C,"")</x:f>
        <x:v>Electronics</x:v>
      </x:c>
    </x:row>
    <x:row r="495">
      <x:c r="A495" s="15" t="str">
        <x:v>ITEM00208_1</x:v>
      </x:c>
      <x:c r="B495" s="15" t="str">
        <x:v>ORD00208</x:v>
      </x:c>
      <x:c r="C495" s="15" t="str">
        <x:v>PROD037</x:v>
      </x:c>
      <x:c r="D495" s="15" t="n">
        <x:v>3</x:v>
      </x:c>
      <x:c r="E495" s="15" t="n">
        <x:v>9876.8</x:v>
      </x:c>
      <x:c r="F495" s="15" t="n">
        <x:v>0</x:v>
      </x:c>
      <x:c r="G495" s="15" t="n">
        <x:v>29630.4</x:v>
      </x:c>
      <x:c r="H495" s="15" t="n">
        <x:v>29630.4</x:v>
      </x:c>
      <x:c r="I495" s="15" t="n">
        <x:v>21372</x:v>
      </x:c>
      <x:c r="J495" s="15" t="n">
        <x:v>8258.4</x:v>
      </x:c>
      <x:c r="K495" t="str">
        <x:f>XLOOKUP(B495,Orders!A:A,Orders!E:E,"")</x:f>
        <x:v>North</x:v>
      </x:c>
      <x:c r="L495" t="n">
        <x:f>XLOOKUP(B495,Orders!A:A,Orders!B:B,"")</x:f>
        <x:v>45694</x:v>
      </x:c>
      <x:c r="M495" t="str">
        <x:f>XLOOKUP(C495,Products!A:A,Products!C:C,"")</x:f>
        <x:v>Accessories</x:v>
      </x:c>
    </x:row>
    <x:row r="496">
      <x:c r="A496" s="15" t="str">
        <x:v>ITEM00208_2</x:v>
      </x:c>
      <x:c r="B496" s="15" t="str">
        <x:v>ORD00208</x:v>
      </x:c>
      <x:c r="C496" s="15" t="str">
        <x:v>PROD003</x:v>
      </x:c>
      <x:c r="D496" s="15" t="n">
        <x:v>3</x:v>
      </x:c>
      <x:c r="E496" s="15" t="n">
        <x:v>10757.89</x:v>
      </x:c>
      <x:c r="F496" s="15" t="n">
        <x:v>0</x:v>
      </x:c>
      <x:c r="G496" s="15" t="n">
        <x:v>32273.67</x:v>
      </x:c>
      <x:c r="H496" s="15" t="n">
        <x:v>32273.67</x:v>
      </x:c>
      <x:c r="I496" s="15" t="n">
        <x:v>22263</x:v>
      </x:c>
      <x:c r="J496" s="15" t="n">
        <x:v>10010.67</x:v>
      </x:c>
      <x:c r="K496" t="str">
        <x:f>XLOOKUP(B496,Orders!A:A,Orders!E:E,"")</x:f>
        <x:v>North</x:v>
      </x:c>
      <x:c r="L496" t="n">
        <x:f>XLOOKUP(B496,Orders!A:A,Orders!B:B,"")</x:f>
        <x:v>45694</x:v>
      </x:c>
      <x:c r="M496" t="str">
        <x:f>XLOOKUP(C496,Products!A:A,Products!C:C,"")</x:f>
        <x:v>Accessories</x:v>
      </x:c>
    </x:row>
    <x:row r="497">
      <x:c r="A497" s="15" t="str">
        <x:v>ITEM00208_3</x:v>
      </x:c>
      <x:c r="B497" s="15" t="str">
        <x:v>ORD00208</x:v>
      </x:c>
      <x:c r="C497" s="15" t="str">
        <x:v>PROD039</x:v>
      </x:c>
      <x:c r="D497" s="15" t="n">
        <x:v>8</x:v>
      </x:c>
      <x:c r="E497" s="15" t="n">
        <x:v>5945.62</x:v>
      </x:c>
      <x:c r="F497" s="15" t="n">
        <x:v>0.1</x:v>
      </x:c>
      <x:c r="G497" s="15" t="n">
        <x:v>47564.96</x:v>
      </x:c>
      <x:c r="H497" s="15" t="n">
        <x:v>42808.46</x:v>
      </x:c>
      <x:c r="I497" s="15" t="n">
        <x:v>36584</x:v>
      </x:c>
      <x:c r="J497" s="15" t="n">
        <x:v>6224.46</x:v>
      </x:c>
      <x:c r="K497" t="str">
        <x:f>XLOOKUP(B497,Orders!A:A,Orders!E:E,"")</x:f>
        <x:v>North</x:v>
      </x:c>
      <x:c r="L497" t="n">
        <x:f>XLOOKUP(B497,Orders!A:A,Orders!B:B,"")</x:f>
        <x:v>45694</x:v>
      </x:c>
      <x:c r="M497" t="str">
        <x:f>XLOOKUP(C497,Products!A:A,Products!C:C,"")</x:f>
        <x:v>Office Supplies</x:v>
      </x:c>
    </x:row>
    <x:row r="498">
      <x:c r="A498" s="15" t="str">
        <x:v>ITEM00209_1</x:v>
      </x:c>
      <x:c r="B498" s="15" t="str">
        <x:v>ORD00209</x:v>
      </x:c>
      <x:c r="C498" s="15" t="str">
        <x:v>PROD026</x:v>
      </x:c>
      <x:c r="D498" s="15" t="n">
        <x:v>3</x:v>
      </x:c>
      <x:c r="E498" s="15" t="n">
        <x:v>3848.69</x:v>
      </x:c>
      <x:c r="F498" s="15" t="n">
        <x:v>0</x:v>
      </x:c>
      <x:c r="G498" s="15" t="n">
        <x:v>11546.07</x:v>
      </x:c>
      <x:c r="H498" s="15" t="n">
        <x:v>11546.07</x:v>
      </x:c>
      <x:c r="I498" s="15" t="n">
        <x:v>7902</x:v>
      </x:c>
      <x:c r="J498" s="15" t="n">
        <x:v>3644.07</x:v>
      </x:c>
      <x:c r="K498" t="str">
        <x:f>XLOOKUP(B498,Orders!A:A,Orders!E:E,"")</x:f>
        <x:v>East</x:v>
      </x:c>
      <x:c r="L498" t="n">
        <x:f>XLOOKUP(B498,Orders!A:A,Orders!B:B,"")</x:f>
        <x:v>45798</x:v>
      </x:c>
      <x:c r="M498" t="str">
        <x:f>XLOOKUP(C498,Products!A:A,Products!C:C,"")</x:f>
        <x:v>Accessories</x:v>
      </x:c>
    </x:row>
    <x:row r="499">
      <x:c r="A499" s="15" t="str">
        <x:v>ITEM00209_2</x:v>
      </x:c>
      <x:c r="B499" s="15" t="str">
        <x:v>ORD00209</x:v>
      </x:c>
      <x:c r="C499" s="15" t="str">
        <x:v>PROD037</x:v>
      </x:c>
      <x:c r="D499" s="15" t="n">
        <x:v>1</x:v>
      </x:c>
      <x:c r="E499" s="15" t="n">
        <x:v>9876.8</x:v>
      </x:c>
      <x:c r="F499" s="15" t="n">
        <x:v>0.15</x:v>
      </x:c>
      <x:c r="G499" s="15" t="n">
        <x:v>9876.8</x:v>
      </x:c>
      <x:c r="H499" s="15" t="n">
        <x:v>8395.28</x:v>
      </x:c>
      <x:c r="I499" s="15" t="n">
        <x:v>7124</x:v>
      </x:c>
      <x:c r="J499" s="15" t="n">
        <x:v>1271.28</x:v>
      </x:c>
      <x:c r="K499" t="str">
        <x:f>XLOOKUP(B499,Orders!A:A,Orders!E:E,"")</x:f>
        <x:v>East</x:v>
      </x:c>
      <x:c r="L499" t="n">
        <x:f>XLOOKUP(B499,Orders!A:A,Orders!B:B,"")</x:f>
        <x:v>45798</x:v>
      </x:c>
      <x:c r="M499" t="str">
        <x:f>XLOOKUP(C499,Products!A:A,Products!C:C,"")</x:f>
        <x:v>Accessories</x:v>
      </x:c>
    </x:row>
    <x:row r="500">
      <x:c r="A500" s="15" t="str">
        <x:v>ITEM00210_1</x:v>
      </x:c>
      <x:c r="B500" s="15" t="str">
        <x:v>ORD00210</x:v>
      </x:c>
      <x:c r="C500" s="15" t="str">
        <x:v>PROD022</x:v>
      </x:c>
      <x:c r="D500" s="15" t="n">
        <x:v>6</x:v>
      </x:c>
      <x:c r="E500" s="15" t="n">
        <x:v>7775.36</x:v>
      </x:c>
      <x:c r="F500" s="15" t="n">
        <x:v>0.15</x:v>
      </x:c>
      <x:c r="G500" s="15" t="n">
        <x:v>46652.16</x:v>
      </x:c>
      <x:c r="H500" s="15" t="n">
        <x:v>39654.34</x:v>
      </x:c>
      <x:c r="I500" s="15" t="n">
        <x:v>37986</x:v>
      </x:c>
      <x:c r="J500" s="15" t="n">
        <x:v>1668.34</x:v>
      </x:c>
      <x:c r="K500" t="str">
        <x:f>XLOOKUP(B500,Orders!A:A,Orders!E:E,"")</x:f>
        <x:v>East</x:v>
      </x:c>
      <x:c r="L500" t="n">
        <x:f>XLOOKUP(B500,Orders!A:A,Orders!B:B,"")</x:f>
        <x:v>45845</x:v>
      </x:c>
      <x:c r="M500" t="str">
        <x:f>XLOOKUP(C500,Products!A:A,Products!C:C,"")</x:f>
        <x:v>Furniture</x:v>
      </x:c>
    </x:row>
    <x:row r="501">
      <x:c r="A501" s="15" t="str">
        <x:v>ITEM00211_1</x:v>
      </x:c>
      <x:c r="B501" s="15" t="str">
        <x:v>ORD00211</x:v>
      </x:c>
      <x:c r="C501" s="15" t="str">
        <x:v>PROD001</x:v>
      </x:c>
      <x:c r="D501" s="15" t="n">
        <x:v>3</x:v>
      </x:c>
      <x:c r="E501" s="15" t="n">
        <x:v>8672.7</x:v>
      </x:c>
      <x:c r="F501" s="15" t="n">
        <x:v>0.15</x:v>
      </x:c>
      <x:c r="G501" s="15" t="n">
        <x:v>26018.1</x:v>
      </x:c>
      <x:c r="H501" s="15" t="n">
        <x:v>22115.38</x:v>
      </x:c>
      <x:c r="I501" s="15" t="n">
        <x:v>18489</x:v>
      </x:c>
      <x:c r="J501" s="15" t="n">
        <x:v>3626.38</x:v>
      </x:c>
      <x:c r="K501" t="str">
        <x:f>XLOOKUP(B501,Orders!A:A,Orders!E:E,"")</x:f>
        <x:v>East</x:v>
      </x:c>
      <x:c r="L501" t="n">
        <x:f>XLOOKUP(B501,Orders!A:A,Orders!B:B,"")</x:f>
        <x:v>45929</x:v>
      </x:c>
      <x:c r="M501" t="str">
        <x:f>XLOOKUP(C501,Products!A:A,Products!C:C,"")</x:f>
        <x:v>Office Supplies</x:v>
      </x:c>
    </x:row>
    <x:row r="502">
      <x:c r="A502" s="15" t="str">
        <x:v>ITEM00211_2</x:v>
      </x:c>
      <x:c r="B502" s="15" t="str">
        <x:v>ORD00211</x:v>
      </x:c>
      <x:c r="C502" s="15" t="str">
        <x:v>PROD013</x:v>
      </x:c>
      <x:c r="D502" s="15" t="n">
        <x:v>7</x:v>
      </x:c>
      <x:c r="E502" s="15" t="n">
        <x:v>7614.02</x:v>
      </x:c>
      <x:c r="F502" s="15" t="n">
        <x:v>0</x:v>
      </x:c>
      <x:c r="G502" s="15" t="n">
        <x:v>53298.14</x:v>
      </x:c>
      <x:c r="H502" s="15" t="n">
        <x:v>53298.14</x:v>
      </x:c>
      <x:c r="I502" s="15" t="n">
        <x:v>42539</x:v>
      </x:c>
      <x:c r="J502" s="15" t="n">
        <x:v>10759.14</x:v>
      </x:c>
      <x:c r="K502" t="str">
        <x:f>XLOOKUP(B502,Orders!A:A,Orders!E:E,"")</x:f>
        <x:v>East</x:v>
      </x:c>
      <x:c r="L502" t="n">
        <x:f>XLOOKUP(B502,Orders!A:A,Orders!B:B,"")</x:f>
        <x:v>45929</x:v>
      </x:c>
      <x:c r="M502" t="str">
        <x:f>XLOOKUP(C502,Products!A:A,Products!C:C,"")</x:f>
        <x:v>Furniture</x:v>
      </x:c>
    </x:row>
    <x:row r="503">
      <x:c r="A503" s="15" t="str">
        <x:v>ITEM00211_3</x:v>
      </x:c>
      <x:c r="B503" s="15" t="str">
        <x:v>ORD00211</x:v>
      </x:c>
      <x:c r="C503" s="15" t="str">
        <x:v>PROD014</x:v>
      </x:c>
      <x:c r="D503" s="15" t="n">
        <x:v>3</x:v>
      </x:c>
      <x:c r="E503" s="15" t="n">
        <x:v>1611.65</x:v>
      </x:c>
      <x:c r="F503" s="15" t="n">
        <x:v>0</x:v>
      </x:c>
      <x:c r="G503" s="15" t="n">
        <x:v>4834.95</x:v>
      </x:c>
      <x:c r="H503" s="15" t="n">
        <x:v>4834.95</x:v>
      </x:c>
      <x:c r="I503" s="15" t="n">
        <x:v>3699</x:v>
      </x:c>
      <x:c r="J503" s="15" t="n">
        <x:v>1135.95</x:v>
      </x:c>
      <x:c r="K503" t="str">
        <x:f>XLOOKUP(B503,Orders!A:A,Orders!E:E,"")</x:f>
        <x:v>East</x:v>
      </x:c>
      <x:c r="L503" t="n">
        <x:f>XLOOKUP(B503,Orders!A:A,Orders!B:B,"")</x:f>
        <x:v>45929</x:v>
      </x:c>
      <x:c r="M503" t="str">
        <x:f>XLOOKUP(C503,Products!A:A,Products!C:C,"")</x:f>
        <x:v>Office Supplies</x:v>
      </x:c>
    </x:row>
    <x:row r="504">
      <x:c r="A504" s="15" t="str">
        <x:v>ITEM00212_1</x:v>
      </x:c>
      <x:c r="B504" s="15" t="str">
        <x:v>ORD00212</x:v>
      </x:c>
      <x:c r="C504" s="15" t="str">
        <x:v>PROD019</x:v>
      </x:c>
      <x:c r="D504" s="15" t="n">
        <x:v>3</x:v>
      </x:c>
      <x:c r="E504" s="15" t="n">
        <x:v>5996.29</x:v>
      </x:c>
      <x:c r="F504" s="15" t="n">
        <x:v>0.15</x:v>
      </x:c>
      <x:c r="G504" s="15" t="n">
        <x:v>17988.87</x:v>
      </x:c>
      <x:c r="H504" s="15" t="n">
        <x:v>15290.54</x:v>
      </x:c>
      <x:c r="I504" s="15" t="n">
        <x:v>13530</x:v>
      </x:c>
      <x:c r="J504" s="15" t="n">
        <x:v>1760.54</x:v>
      </x:c>
      <x:c r="K504" t="str">
        <x:f>XLOOKUP(B504,Orders!A:A,Orders!E:E,"")</x:f>
        <x:v>East</x:v>
      </x:c>
      <x:c r="L504" t="n">
        <x:f>XLOOKUP(B504,Orders!A:A,Orders!B:B,"")</x:f>
        <x:v>45950</x:v>
      </x:c>
      <x:c r="M504" t="str">
        <x:f>XLOOKUP(C504,Products!A:A,Products!C:C,"")</x:f>
        <x:v>Electronics</x:v>
      </x:c>
    </x:row>
    <x:row r="505">
      <x:c r="A505" s="15" t="str">
        <x:v>ITEM00212_2</x:v>
      </x:c>
      <x:c r="B505" s="15" t="str">
        <x:v>ORD00212</x:v>
      </x:c>
      <x:c r="C505" s="15" t="str">
        <x:v>PROD020</x:v>
      </x:c>
      <x:c r="D505" s="15" t="n">
        <x:v>1</x:v>
      </x:c>
      <x:c r="E505" s="15" t="n">
        <x:v>6564.04</x:v>
      </x:c>
      <x:c r="F505" s="15" t="n">
        <x:v>0</x:v>
      </x:c>
      <x:c r="G505" s="15" t="n">
        <x:v>6564.04</x:v>
      </x:c>
      <x:c r="H505" s="15" t="n">
        <x:v>6564.04</x:v>
      </x:c>
      <x:c r="I505" s="15" t="n">
        <x:v>4585</x:v>
      </x:c>
      <x:c r="J505" s="15" t="n">
        <x:v>1979.04</x:v>
      </x:c>
      <x:c r="K505" t="str">
        <x:f>XLOOKUP(B505,Orders!A:A,Orders!E:E,"")</x:f>
        <x:v>East</x:v>
      </x:c>
      <x:c r="L505" t="n">
        <x:f>XLOOKUP(B505,Orders!A:A,Orders!B:B,"")</x:f>
        <x:v>45950</x:v>
      </x:c>
      <x:c r="M505" t="str">
        <x:f>XLOOKUP(C505,Products!A:A,Products!C:C,"")</x:f>
        <x:v>Accessories</x:v>
      </x:c>
    </x:row>
    <x:row r="506">
      <x:c r="A506" s="15" t="str">
        <x:v>ITEM00212_3</x:v>
      </x:c>
      <x:c r="B506" s="15" t="str">
        <x:v>ORD00212</x:v>
      </x:c>
      <x:c r="C506" s="15" t="str">
        <x:v>PROD030</x:v>
      </x:c>
      <x:c r="D506" s="15" t="n">
        <x:v>3</x:v>
      </x:c>
      <x:c r="E506" s="15" t="n">
        <x:v>5180.7</x:v>
      </x:c>
      <x:c r="F506" s="15" t="n">
        <x:v>0.05</x:v>
      </x:c>
      <x:c r="G506" s="15" t="n">
        <x:v>15542.1</x:v>
      </x:c>
      <x:c r="H506" s="15" t="n">
        <x:v>14764.99</x:v>
      </x:c>
      <x:c r="I506" s="15" t="n">
        <x:v>11664</x:v>
      </x:c>
      <x:c r="J506" s="15" t="n">
        <x:v>3100.99</x:v>
      </x:c>
      <x:c r="K506" t="str">
        <x:f>XLOOKUP(B506,Orders!A:A,Orders!E:E,"")</x:f>
        <x:v>East</x:v>
      </x:c>
      <x:c r="L506" t="n">
        <x:f>XLOOKUP(B506,Orders!A:A,Orders!B:B,"")</x:f>
        <x:v>45950</x:v>
      </x:c>
      <x:c r="M506" t="str">
        <x:f>XLOOKUP(C506,Products!A:A,Products!C:C,"")</x:f>
        <x:v>Office Supplies</x:v>
      </x:c>
    </x:row>
    <x:row r="507">
      <x:c r="A507" s="15" t="str">
        <x:v>ITEM00213_1</x:v>
      </x:c>
      <x:c r="B507" s="15" t="str">
        <x:v>ORD00213</x:v>
      </x:c>
      <x:c r="C507" s="15" t="str">
        <x:v>PROD010</x:v>
      </x:c>
      <x:c r="D507" s="15" t="n">
        <x:v>6</x:v>
      </x:c>
      <x:c r="E507" s="15" t="n">
        <x:v>8670.63</x:v>
      </x:c>
      <x:c r="F507" s="15" t="n">
        <x:v>0.05</x:v>
      </x:c>
      <x:c r="G507" s="15" t="n">
        <x:v>52023.78</x:v>
      </x:c>
      <x:c r="H507" s="15" t="n">
        <x:v>49422.59</x:v>
      </x:c>
      <x:c r="I507" s="15" t="n">
        <x:v>35118</x:v>
      </x:c>
      <x:c r="J507" s="15" t="n">
        <x:v>14304.59</x:v>
      </x:c>
      <x:c r="K507" t="str">
        <x:f>XLOOKUP(B507,Orders!A:A,Orders!E:E,"")</x:f>
        <x:v>North</x:v>
      </x:c>
      <x:c r="L507" t="n">
        <x:f>XLOOKUP(B507,Orders!A:A,Orders!B:B,"")</x:f>
        <x:v>46141</x:v>
      </x:c>
      <x:c r="M507" t="str">
        <x:f>XLOOKUP(C507,Products!A:A,Products!C:C,"")</x:f>
        <x:v>Accessories</x:v>
      </x:c>
    </x:row>
    <x:row r="508">
      <x:c r="A508" s="15" t="str">
        <x:v>ITEM00213_2</x:v>
      </x:c>
      <x:c r="B508" s="15" t="str">
        <x:v>ORD00213</x:v>
      </x:c>
      <x:c r="C508" s="15" t="str">
        <x:v>PROD010</x:v>
      </x:c>
      <x:c r="D508" s="15" t="n">
        <x:v>1</x:v>
      </x:c>
      <x:c r="E508" s="15" t="n">
        <x:v>8670.63</x:v>
      </x:c>
      <x:c r="F508" s="15" t="n">
        <x:v>0.05</x:v>
      </x:c>
      <x:c r="G508" s="15" t="n">
        <x:v>8670.63</x:v>
      </x:c>
      <x:c r="H508" s="15" t="n">
        <x:v>8237.1</x:v>
      </x:c>
      <x:c r="I508" s="15" t="n">
        <x:v>5853</x:v>
      </x:c>
      <x:c r="J508" s="15" t="n">
        <x:v>2384.1</x:v>
      </x:c>
      <x:c r="K508" t="str">
        <x:f>XLOOKUP(B508,Orders!A:A,Orders!E:E,"")</x:f>
        <x:v>North</x:v>
      </x:c>
      <x:c r="L508" t="n">
        <x:f>XLOOKUP(B508,Orders!A:A,Orders!B:B,"")</x:f>
        <x:v>46141</x:v>
      </x:c>
      <x:c r="M508" t="str">
        <x:f>XLOOKUP(C508,Products!A:A,Products!C:C,"")</x:f>
        <x:v>Accessories</x:v>
      </x:c>
    </x:row>
    <x:row r="509">
      <x:c r="A509" s="15" t="str">
        <x:v>ITEM00213_3</x:v>
      </x:c>
      <x:c r="B509" s="15" t="str">
        <x:v>ORD00213</x:v>
      </x:c>
      <x:c r="C509" s="15" t="str">
        <x:v>PROD011</x:v>
      </x:c>
      <x:c r="D509" s="15" t="n">
        <x:v>7</x:v>
      </x:c>
      <x:c r="E509" s="15" t="n">
        <x:v>7135.27</x:v>
      </x:c>
      <x:c r="F509" s="15" t="n">
        <x:v>0</x:v>
      </x:c>
      <x:c r="G509" s="15" t="n">
        <x:v>49946.89</x:v>
      </x:c>
      <x:c r="H509" s="15" t="n">
        <x:v>49946.89</x:v>
      </x:c>
      <x:c r="I509" s="15" t="n">
        <x:v>36421</x:v>
      </x:c>
      <x:c r="J509" s="15" t="n">
        <x:v>13525.89</x:v>
      </x:c>
      <x:c r="K509" t="str">
        <x:f>XLOOKUP(B509,Orders!A:A,Orders!E:E,"")</x:f>
        <x:v>North</x:v>
      </x:c>
      <x:c r="L509" t="n">
        <x:f>XLOOKUP(B509,Orders!A:A,Orders!B:B,"")</x:f>
        <x:v>46141</x:v>
      </x:c>
      <x:c r="M509" t="str">
        <x:f>XLOOKUP(C509,Products!A:A,Products!C:C,"")</x:f>
        <x:v>Accessories</x:v>
      </x:c>
    </x:row>
    <x:row r="510">
      <x:c r="A510" s="15" t="str">
        <x:v>ITEM00214_1</x:v>
      </x:c>
      <x:c r="B510" s="15" t="str">
        <x:v>ORD00214</x:v>
      </x:c>
      <x:c r="C510" s="15" t="str">
        <x:v>PROD022</x:v>
      </x:c>
      <x:c r="D510" s="15" t="n">
        <x:v>6</x:v>
      </x:c>
      <x:c r="E510" s="15" t="n">
        <x:v>7775.36</x:v>
      </x:c>
      <x:c r="F510" s="15" t="n">
        <x:v>0.15</x:v>
      </x:c>
      <x:c r="G510" s="15" t="n">
        <x:v>46652.16</x:v>
      </x:c>
      <x:c r="H510" s="15" t="n">
        <x:v>39654.34</x:v>
      </x:c>
      <x:c r="I510" s="15" t="n">
        <x:v>37986</x:v>
      </x:c>
      <x:c r="J510" s="15" t="n">
        <x:v>1668.34</x:v>
      </x:c>
      <x:c r="K510" t="str">
        <x:f>XLOOKUP(B510,Orders!A:A,Orders!E:E,"")</x:f>
        <x:v>North</x:v>
      </x:c>
      <x:c r="L510" t="n">
        <x:f>XLOOKUP(B510,Orders!A:A,Orders!B:B,"")</x:f>
        <x:v>46126</x:v>
      </x:c>
      <x:c r="M510" t="str">
        <x:f>XLOOKUP(C510,Products!A:A,Products!C:C,"")</x:f>
        <x:v>Furniture</x:v>
      </x:c>
    </x:row>
    <x:row r="511">
      <x:c r="A511" s="15" t="str">
        <x:v>ITEM00215_1</x:v>
      </x:c>
      <x:c r="B511" s="15" t="str">
        <x:v>ORD00215</x:v>
      </x:c>
      <x:c r="C511" s="15" t="str">
        <x:v>PROD040</x:v>
      </x:c>
      <x:c r="D511" s="15" t="n">
        <x:v>4</x:v>
      </x:c>
      <x:c r="E511" s="15" t="n">
        <x:v>8561.07</x:v>
      </x:c>
      <x:c r="F511" s="15" t="n">
        <x:v>0.1</x:v>
      </x:c>
      <x:c r="G511" s="15" t="n">
        <x:v>34244.28</x:v>
      </x:c>
      <x:c r="H511" s="15" t="n">
        <x:v>30819.85</x:v>
      </x:c>
      <x:c r="I511" s="15" t="n">
        <x:v>27364</x:v>
      </x:c>
      <x:c r="J511" s="15" t="n">
        <x:v>3455.85</x:v>
      </x:c>
      <x:c r="K511" t="str">
        <x:f>XLOOKUP(B511,Orders!A:A,Orders!E:E,"")</x:f>
        <x:v>East</x:v>
      </x:c>
      <x:c r="L511" t="n">
        <x:f>XLOOKUP(B511,Orders!A:A,Orders!B:B,"")</x:f>
        <x:v>45756</x:v>
      </x:c>
      <x:c r="M511" t="str">
        <x:f>XLOOKUP(C511,Products!A:A,Products!C:C,"")</x:f>
        <x:v>Electronics</x:v>
      </x:c>
    </x:row>
    <x:row r="512">
      <x:c r="A512" s="15" t="str">
        <x:v>ITEM00215_2</x:v>
      </x:c>
      <x:c r="B512" s="15" t="str">
        <x:v>ORD00215</x:v>
      </x:c>
      <x:c r="C512" s="15" t="str">
        <x:v>PROD020</x:v>
      </x:c>
      <x:c r="D512" s="15" t="n">
        <x:v>7</x:v>
      </x:c>
      <x:c r="E512" s="15" t="n">
        <x:v>6564.04</x:v>
      </x:c>
      <x:c r="F512" s="15" t="n">
        <x:v>0.15</x:v>
      </x:c>
      <x:c r="G512" s="15" t="n">
        <x:v>45948.28</x:v>
      </x:c>
      <x:c r="H512" s="15" t="n">
        <x:v>39056.04</x:v>
      </x:c>
      <x:c r="I512" s="15" t="n">
        <x:v>32095</x:v>
      </x:c>
      <x:c r="J512" s="15" t="n">
        <x:v>6961.04</x:v>
      </x:c>
      <x:c r="K512" t="str">
        <x:f>XLOOKUP(B512,Orders!A:A,Orders!E:E,"")</x:f>
        <x:v>East</x:v>
      </x:c>
      <x:c r="L512" t="n">
        <x:f>XLOOKUP(B512,Orders!A:A,Orders!B:B,"")</x:f>
        <x:v>45756</x:v>
      </x:c>
      <x:c r="M512" t="str">
        <x:f>XLOOKUP(C512,Products!A:A,Products!C:C,"")</x:f>
        <x:v>Accessories</x:v>
      </x:c>
    </x:row>
    <x:row r="513">
      <x:c r="A513" s="15" t="str">
        <x:v>ITEM00216_1</x:v>
      </x:c>
      <x:c r="B513" s="15" t="str">
        <x:v>ORD00216</x:v>
      </x:c>
      <x:c r="C513" s="15" t="str">
        <x:v>PROD022</x:v>
      </x:c>
      <x:c r="D513" s="15" t="n">
        <x:v>7</x:v>
      </x:c>
      <x:c r="E513" s="15" t="n">
        <x:v>7775.36</x:v>
      </x:c>
      <x:c r="F513" s="15" t="n">
        <x:v>0</x:v>
      </x:c>
      <x:c r="G513" s="15" t="n">
        <x:v>54427.52</x:v>
      </x:c>
      <x:c r="H513" s="15" t="n">
        <x:v>54427.52</x:v>
      </x:c>
      <x:c r="I513" s="15" t="n">
        <x:v>44317</x:v>
      </x:c>
      <x:c r="J513" s="15" t="n">
        <x:v>10110.52</x:v>
      </x:c>
      <x:c r="K513" t="str">
        <x:f>XLOOKUP(B513,Orders!A:A,Orders!E:E,"")</x:f>
        <x:v>East</x:v>
      </x:c>
      <x:c r="L513" t="n">
        <x:f>XLOOKUP(B513,Orders!A:A,Orders!B:B,"")</x:f>
        <x:v>46109</x:v>
      </x:c>
      <x:c r="M513" t="str">
        <x:f>XLOOKUP(C513,Products!A:A,Products!C:C,"")</x:f>
        <x:v>Furniture</x:v>
      </x:c>
    </x:row>
    <x:row r="514">
      <x:c r="A514" s="15" t="str">
        <x:v>ITEM00217_1</x:v>
      </x:c>
      <x:c r="B514" s="15" t="str">
        <x:v>ORD00217</x:v>
      </x:c>
      <x:c r="C514" s="15" t="str">
        <x:v>PROD008</x:v>
      </x:c>
      <x:c r="D514" s="15" t="n">
        <x:v>3</x:v>
      </x:c>
      <x:c r="E514" s="15" t="n">
        <x:v>8534.48</x:v>
      </x:c>
      <x:c r="F514" s="15" t="n">
        <x:v>0</x:v>
      </x:c>
      <x:c r="G514" s="15" t="n">
        <x:v>25603.44</x:v>
      </x:c>
      <x:c r="H514" s="15" t="n">
        <x:v>25603.44</x:v>
      </x:c>
      <x:c r="I514" s="15" t="n">
        <x:v>18591</x:v>
      </x:c>
      <x:c r="J514" s="15" t="n">
        <x:v>7012.44</x:v>
      </x:c>
      <x:c r="K514" t="str">
        <x:f>XLOOKUP(B514,Orders!A:A,Orders!E:E,"")</x:f>
        <x:v>South</x:v>
      </x:c>
      <x:c r="L514" t="n">
        <x:f>XLOOKUP(B514,Orders!A:A,Orders!B:B,"")</x:f>
        <x:v>46009</x:v>
      </x:c>
      <x:c r="M514" t="str">
        <x:f>XLOOKUP(C514,Products!A:A,Products!C:C,"")</x:f>
        <x:v>Office Supplies</x:v>
      </x:c>
    </x:row>
    <x:row r="515">
      <x:c r="A515" s="15" t="str">
        <x:v>ITEM00217_2</x:v>
      </x:c>
      <x:c r="B515" s="15" t="str">
        <x:v>ORD00217</x:v>
      </x:c>
      <x:c r="C515" s="15" t="str">
        <x:v>PROD038</x:v>
      </x:c>
      <x:c r="D515" s="15" t="n">
        <x:v>6</x:v>
      </x:c>
      <x:c r="E515" s="15" t="n">
        <x:v>5219.7</x:v>
      </x:c>
      <x:c r="F515" s="15" t="n">
        <x:v>0.15</x:v>
      </x:c>
      <x:c r="G515" s="15" t="n">
        <x:v>31318.2</x:v>
      </x:c>
      <x:c r="H515" s="15" t="n">
        <x:v>26620.47</x:v>
      </x:c>
      <x:c r="I515" s="15" t="n">
        <x:v>23616</x:v>
      </x:c>
      <x:c r="J515" s="15" t="n">
        <x:v>3004.47</x:v>
      </x:c>
      <x:c r="K515" t="str">
        <x:f>XLOOKUP(B515,Orders!A:A,Orders!E:E,"")</x:f>
        <x:v>South</x:v>
      </x:c>
      <x:c r="L515" t="n">
        <x:f>XLOOKUP(B515,Orders!A:A,Orders!B:B,"")</x:f>
        <x:v>46009</x:v>
      </x:c>
      <x:c r="M515" t="str">
        <x:f>XLOOKUP(C515,Products!A:A,Products!C:C,"")</x:f>
        <x:v>Office Supplies</x:v>
      </x:c>
    </x:row>
    <x:row r="516">
      <x:c r="A516" s="15" t="str">
        <x:v>ITEM00217_3</x:v>
      </x:c>
      <x:c r="B516" s="15" t="str">
        <x:v>ORD00217</x:v>
      </x:c>
      <x:c r="C516" s="15" t="str">
        <x:v>PROD023</x:v>
      </x:c>
      <x:c r="D516" s="15" t="n">
        <x:v>7</x:v>
      </x:c>
      <x:c r="E516" s="15" t="n">
        <x:v>5153.56</x:v>
      </x:c>
      <x:c r="F516" s="15" t="n">
        <x:v>0</x:v>
      </x:c>
      <x:c r="G516" s="15" t="n">
        <x:v>36074.92</x:v>
      </x:c>
      <x:c r="H516" s="15" t="n">
        <x:v>36074.92</x:v>
      </x:c>
      <x:c r="I516" s="15" t="n">
        <x:v>27706</x:v>
      </x:c>
      <x:c r="J516" s="15" t="n">
        <x:v>8368.92</x:v>
      </x:c>
      <x:c r="K516" t="str">
        <x:f>XLOOKUP(B516,Orders!A:A,Orders!E:E,"")</x:f>
        <x:v>South</x:v>
      </x:c>
      <x:c r="L516" t="n">
        <x:f>XLOOKUP(B516,Orders!A:A,Orders!B:B,"")</x:f>
        <x:v>46009</x:v>
      </x:c>
      <x:c r="M516" t="str">
        <x:f>XLOOKUP(C516,Products!A:A,Products!C:C,"")</x:f>
        <x:v>Electronics</x:v>
      </x:c>
    </x:row>
    <x:row r="517">
      <x:c r="A517" s="15" t="str">
        <x:v>ITEM00218_1</x:v>
      </x:c>
      <x:c r="B517" s="15" t="str">
        <x:v>ORD00218</x:v>
      </x:c>
      <x:c r="C517" s="15" t="str">
        <x:v>PROD004</x:v>
      </x:c>
      <x:c r="D517" s="15" t="n">
        <x:v>7</x:v>
      </x:c>
      <x:c r="E517" s="15" t="n">
        <x:v>5435.39</x:v>
      </x:c>
      <x:c r="F517" s="15" t="n">
        <x:v>0.1</x:v>
      </x:c>
      <x:c r="G517" s="15" t="n">
        <x:v>38047.73</x:v>
      </x:c>
      <x:c r="H517" s="15" t="n">
        <x:v>34242.96</x:v>
      </x:c>
      <x:c r="I517" s="15" t="n">
        <x:v>28987</x:v>
      </x:c>
      <x:c r="J517" s="15" t="n">
        <x:v>5255.96</x:v>
      </x:c>
      <x:c r="K517" t="str">
        <x:f>XLOOKUP(B517,Orders!A:A,Orders!E:E,"")</x:f>
        <x:v>East</x:v>
      </x:c>
      <x:c r="L517" t="n">
        <x:f>XLOOKUP(B517,Orders!A:A,Orders!B:B,"")</x:f>
        <x:v>45735</x:v>
      </x:c>
      <x:c r="M517" t="str">
        <x:f>XLOOKUP(C517,Products!A:A,Products!C:C,"")</x:f>
        <x:v>Office Supplies</x:v>
      </x:c>
    </x:row>
    <x:row r="518">
      <x:c r="A518" s="15" t="str">
        <x:v>ITEM00219_1</x:v>
      </x:c>
      <x:c r="B518" s="15" t="str">
        <x:v>ORD00219</x:v>
      </x:c>
      <x:c r="C518" s="15" t="str">
        <x:v>PROD004</x:v>
      </x:c>
      <x:c r="D518" s="15" t="n">
        <x:v>8</x:v>
      </x:c>
      <x:c r="E518" s="15" t="n">
        <x:v>5435.39</x:v>
      </x:c>
      <x:c r="F518" s="15" t="n">
        <x:v>0.1</x:v>
      </x:c>
      <x:c r="G518" s="15" t="n">
        <x:v>43483.12</x:v>
      </x:c>
      <x:c r="H518" s="15" t="n">
        <x:v>39134.81</x:v>
      </x:c>
      <x:c r="I518" s="15" t="n">
        <x:v>33128</x:v>
      </x:c>
      <x:c r="J518" s="15" t="n">
        <x:v>6006.81</x:v>
      </x:c>
      <x:c r="K518" t="str">
        <x:f>XLOOKUP(B518,Orders!A:A,Orders!E:E,"")</x:f>
        <x:v>North</x:v>
      </x:c>
      <x:c r="L518" t="n">
        <x:f>XLOOKUP(B518,Orders!A:A,Orders!B:B,"")</x:f>
        <x:v>45904</x:v>
      </x:c>
      <x:c r="M518" t="str">
        <x:f>XLOOKUP(C518,Products!A:A,Products!C:C,"")</x:f>
        <x:v>Office Supplies</x:v>
      </x:c>
    </x:row>
    <x:row r="519">
      <x:c r="A519" s="15" t="str">
        <x:v>ITEM00219_2</x:v>
      </x:c>
      <x:c r="B519" s="15" t="str">
        <x:v>ORD00219</x:v>
      </x:c>
      <x:c r="C519" s="15" t="str">
        <x:v>PROD039</x:v>
      </x:c>
      <x:c r="D519" s="15" t="n">
        <x:v>2</x:v>
      </x:c>
      <x:c r="E519" s="15" t="n">
        <x:v>5945.62</x:v>
      </x:c>
      <x:c r="F519" s="15" t="n">
        <x:v>0.15</x:v>
      </x:c>
      <x:c r="G519" s="15" t="n">
        <x:v>11891.24</x:v>
      </x:c>
      <x:c r="H519" s="15" t="n">
        <x:v>10107.55</x:v>
      </x:c>
      <x:c r="I519" s="15" t="n">
        <x:v>9146</x:v>
      </x:c>
      <x:c r="J519" s="15" t="n">
        <x:v>961.55</x:v>
      </x:c>
      <x:c r="K519" t="str">
        <x:f>XLOOKUP(B519,Orders!A:A,Orders!E:E,"")</x:f>
        <x:v>North</x:v>
      </x:c>
      <x:c r="L519" t="n">
        <x:f>XLOOKUP(B519,Orders!A:A,Orders!B:B,"")</x:f>
        <x:v>45904</x:v>
      </x:c>
      <x:c r="M519" t="str">
        <x:f>XLOOKUP(C519,Products!A:A,Products!C:C,"")</x:f>
        <x:v>Office Supplies</x:v>
      </x:c>
    </x:row>
    <x:row r="520">
      <x:c r="A520" s="15" t="str">
        <x:v>ITEM00219_3</x:v>
      </x:c>
      <x:c r="B520" s="15" t="str">
        <x:v>ORD00219</x:v>
      </x:c>
      <x:c r="C520" s="15" t="str">
        <x:v>PROD010</x:v>
      </x:c>
      <x:c r="D520" s="15" t="n">
        <x:v>3</x:v>
      </x:c>
      <x:c r="E520" s="15" t="n">
        <x:v>8670.63</x:v>
      </x:c>
      <x:c r="F520" s="15" t="n">
        <x:v>0.1</x:v>
      </x:c>
      <x:c r="G520" s="15" t="n">
        <x:v>26011.89</x:v>
      </x:c>
      <x:c r="H520" s="15" t="n">
        <x:v>23410.7</x:v>
      </x:c>
      <x:c r="I520" s="15" t="n">
        <x:v>17559</x:v>
      </x:c>
      <x:c r="J520" s="15" t="n">
        <x:v>5851.7</x:v>
      </x:c>
      <x:c r="K520" t="str">
        <x:f>XLOOKUP(B520,Orders!A:A,Orders!E:E,"")</x:f>
        <x:v>North</x:v>
      </x:c>
      <x:c r="L520" t="n">
        <x:f>XLOOKUP(B520,Orders!A:A,Orders!B:B,"")</x:f>
        <x:v>45904</x:v>
      </x:c>
      <x:c r="M520" t="str">
        <x:f>XLOOKUP(C520,Products!A:A,Products!C:C,"")</x:f>
        <x:v>Accessories</x:v>
      </x:c>
    </x:row>
    <x:row r="521">
      <x:c r="A521" s="15" t="str">
        <x:v>ITEM00220_1</x:v>
      </x:c>
      <x:c r="B521" s="15" t="str">
        <x:v>ORD00220</x:v>
      </x:c>
      <x:c r="C521" s="15" t="str">
        <x:v>PROD032</x:v>
      </x:c>
      <x:c r="D521" s="15" t="n">
        <x:v>6</x:v>
      </x:c>
      <x:c r="E521" s="15" t="n">
        <x:v>6307.06</x:v>
      </x:c>
      <x:c r="F521" s="15" t="n">
        <x:v>0.15</x:v>
      </x:c>
      <x:c r="G521" s="15" t="n">
        <x:v>37842.36</x:v>
      </x:c>
      <x:c r="H521" s="15" t="n">
        <x:v>32166.01</x:v>
      </x:c>
      <x:c r="I521" s="15" t="n">
        <x:v>30462</x:v>
      </x:c>
      <x:c r="J521" s="15" t="n">
        <x:v>1704.01</x:v>
      </x:c>
      <x:c r="K521" t="str">
        <x:f>XLOOKUP(B521,Orders!A:A,Orders!E:E,"")</x:f>
        <x:v>East</x:v>
      </x:c>
      <x:c r="L521" t="n">
        <x:f>XLOOKUP(B521,Orders!A:A,Orders!B:B,"")</x:f>
        <x:v>46019</x:v>
      </x:c>
      <x:c r="M521" t="str">
        <x:f>XLOOKUP(C521,Products!A:A,Products!C:C,"")</x:f>
        <x:v>Electronics</x:v>
      </x:c>
    </x:row>
    <x:row r="522">
      <x:c r="A522" s="15" t="str">
        <x:v>ITEM00221_1</x:v>
      </x:c>
      <x:c r="B522" s="15" t="str">
        <x:v>ORD00221</x:v>
      </x:c>
      <x:c r="C522" s="15" t="str">
        <x:v>PROD021</x:v>
      </x:c>
      <x:c r="D522" s="15" t="n">
        <x:v>1</x:v>
      </x:c>
      <x:c r="E522" s="15" t="n">
        <x:v>6748.85</x:v>
      </x:c>
      <x:c r="F522" s="15" t="n">
        <x:v>0.05</x:v>
      </x:c>
      <x:c r="G522" s="15" t="n">
        <x:v>6748.85</x:v>
      </x:c>
      <x:c r="H522" s="15" t="n">
        <x:v>6411.41</x:v>
      </x:c>
      <x:c r="I522" s="15" t="n">
        <x:v>4999</x:v>
      </x:c>
      <x:c r="J522" s="15" t="n">
        <x:v>1412.41</x:v>
      </x:c>
      <x:c r="K522" t="str">
        <x:f>XLOOKUP(B522,Orders!A:A,Orders!E:E,"")</x:f>
        <x:v>South</x:v>
      </x:c>
      <x:c r="L522" t="n">
        <x:f>XLOOKUP(B522,Orders!A:A,Orders!B:B,"")</x:f>
        <x:v>46033</x:v>
      </x:c>
      <x:c r="M522" t="str">
        <x:f>XLOOKUP(C522,Products!A:A,Products!C:C,"")</x:f>
        <x:v>Electronics</x:v>
      </x:c>
    </x:row>
    <x:row r="523">
      <x:c r="A523" s="15" t="str">
        <x:v>ITEM00222_1</x:v>
      </x:c>
      <x:c r="B523" s="15" t="str">
        <x:v>ORD00222</x:v>
      </x:c>
      <x:c r="C523" s="15" t="str">
        <x:v>PROD006</x:v>
      </x:c>
      <x:c r="D523" s="15" t="n">
        <x:v>4</x:v>
      </x:c>
      <x:c r="E523" s="15" t="n">
        <x:v>4261.26</x:v>
      </x:c>
      <x:c r="F523" s="15" t="n">
        <x:v>0</x:v>
      </x:c>
      <x:c r="G523" s="15" t="n">
        <x:v>17045.04</x:v>
      </x:c>
      <x:c r="H523" s="15" t="n">
        <x:v>17045.04</x:v>
      </x:c>
      <x:c r="I523" s="15" t="n">
        <x:v>12268</x:v>
      </x:c>
      <x:c r="J523" s="15" t="n">
        <x:v>4777.04</x:v>
      </x:c>
      <x:c r="K523" t="str">
        <x:f>XLOOKUP(B523,Orders!A:A,Orders!E:E,"")</x:f>
        <x:v>West</x:v>
      </x:c>
      <x:c r="L523" t="n">
        <x:f>XLOOKUP(B523,Orders!A:A,Orders!B:B,"")</x:f>
        <x:v>45854</x:v>
      </x:c>
      <x:c r="M523" t="str">
        <x:f>XLOOKUP(C523,Products!A:A,Products!C:C,"")</x:f>
        <x:v>Office Supplies</x:v>
      </x:c>
    </x:row>
    <x:row r="524">
      <x:c r="A524" s="15" t="str">
        <x:v>ITEM00222_2</x:v>
      </x:c>
      <x:c r="B524" s="15" t="str">
        <x:v>ORD00222</x:v>
      </x:c>
      <x:c r="C524" s="15" t="str">
        <x:v>PROD027</x:v>
      </x:c>
      <x:c r="D524" s="15" t="n">
        <x:v>7</x:v>
      </x:c>
      <x:c r="E524" s="15" t="n">
        <x:v>6979.71</x:v>
      </x:c>
      <x:c r="F524" s="15" t="n">
        <x:v>0</x:v>
      </x:c>
      <x:c r="G524" s="15" t="n">
        <x:v>48857.97</x:v>
      </x:c>
      <x:c r="H524" s="15" t="n">
        <x:v>48857.97</x:v>
      </x:c>
      <x:c r="I524" s="15" t="n">
        <x:v>39459</x:v>
      </x:c>
      <x:c r="J524" s="15" t="n">
        <x:v>9398.97</x:v>
      </x:c>
      <x:c r="K524" t="str">
        <x:f>XLOOKUP(B524,Orders!A:A,Orders!E:E,"")</x:f>
        <x:v>West</x:v>
      </x:c>
      <x:c r="L524" t="n">
        <x:f>XLOOKUP(B524,Orders!A:A,Orders!B:B,"")</x:f>
        <x:v>45854</x:v>
      </x:c>
      <x:c r="M524" t="str">
        <x:f>XLOOKUP(C524,Products!A:A,Products!C:C,"")</x:f>
        <x:v>Electronics</x:v>
      </x:c>
    </x:row>
    <x:row r="525">
      <x:c r="A525" s="15" t="str">
        <x:v>ITEM00222_3</x:v>
      </x:c>
      <x:c r="B525" s="15" t="str">
        <x:v>ORD00222</x:v>
      </x:c>
      <x:c r="C525" s="15" t="str">
        <x:v>PROD025</x:v>
      </x:c>
      <x:c r="D525" s="15" t="n">
        <x:v>8</x:v>
      </x:c>
      <x:c r="E525" s="15" t="n">
        <x:v>1148.84</x:v>
      </x:c>
      <x:c r="F525" s="15" t="n">
        <x:v>0.1</x:v>
      </x:c>
      <x:c r="G525" s="15" t="n">
        <x:v>9190.72</x:v>
      </x:c>
      <x:c r="H525" s="15" t="n">
        <x:v>8271.65</x:v>
      </x:c>
      <x:c r="I525" s="15" t="n">
        <x:v>7024</x:v>
      </x:c>
      <x:c r="J525" s="15" t="n">
        <x:v>1247.65</x:v>
      </x:c>
      <x:c r="K525" t="str">
        <x:f>XLOOKUP(B525,Orders!A:A,Orders!E:E,"")</x:f>
        <x:v>West</x:v>
      </x:c>
      <x:c r="L525" t="n">
        <x:f>XLOOKUP(B525,Orders!A:A,Orders!B:B,"")</x:f>
        <x:v>45854</x:v>
      </x:c>
      <x:c r="M525" t="str">
        <x:f>XLOOKUP(C525,Products!A:A,Products!C:C,"")</x:f>
        <x:v>Furniture</x:v>
      </x:c>
    </x:row>
    <x:row r="526">
      <x:c r="A526" s="15" t="str">
        <x:v>ITEM00223_1</x:v>
      </x:c>
      <x:c r="B526" s="15" t="str">
        <x:v>ORD00223</x:v>
      </x:c>
      <x:c r="C526" s="15" t="str">
        <x:v>PROD020</x:v>
      </x:c>
      <x:c r="D526" s="15" t="n">
        <x:v>1</x:v>
      </x:c>
      <x:c r="E526" s="15" t="n">
        <x:v>6564.04</x:v>
      </x:c>
      <x:c r="F526" s="15" t="n">
        <x:v>0.05</x:v>
      </x:c>
      <x:c r="G526" s="15" t="n">
        <x:v>6564.04</x:v>
      </x:c>
      <x:c r="H526" s="15" t="n">
        <x:v>6235.84</x:v>
      </x:c>
      <x:c r="I526" s="15" t="n">
        <x:v>4585</x:v>
      </x:c>
      <x:c r="J526" s="15" t="n">
        <x:v>1650.84</x:v>
      </x:c>
      <x:c r="K526" t="str">
        <x:f>XLOOKUP(B526,Orders!A:A,Orders!E:E,"")</x:f>
        <x:v>North</x:v>
      </x:c>
      <x:c r="L526" t="n">
        <x:f>XLOOKUP(B526,Orders!A:A,Orders!B:B,"")</x:f>
        <x:v>46130</x:v>
      </x:c>
      <x:c r="M526" t="str">
        <x:f>XLOOKUP(C526,Products!A:A,Products!C:C,"")</x:f>
        <x:v>Accessories</x:v>
      </x:c>
    </x:row>
    <x:row r="527">
      <x:c r="A527" s="15" t="str">
        <x:v>ITEM00224_1</x:v>
      </x:c>
      <x:c r="B527" s="15" t="str">
        <x:v>ORD00224</x:v>
      </x:c>
      <x:c r="C527" s="15" t="str">
        <x:v>PROD001</x:v>
      </x:c>
      <x:c r="D527" s="15" t="n">
        <x:v>6</x:v>
      </x:c>
      <x:c r="E527" s="15" t="n">
        <x:v>8672.7</x:v>
      </x:c>
      <x:c r="F527" s="15" t="n">
        <x:v>0.1</x:v>
      </x:c>
      <x:c r="G527" s="15" t="n">
        <x:v>52036.2</x:v>
      </x:c>
      <x:c r="H527" s="15" t="n">
        <x:v>46832.58</x:v>
      </x:c>
      <x:c r="I527" s="15" t="n">
        <x:v>36978</x:v>
      </x:c>
      <x:c r="J527" s="15" t="n">
        <x:v>9854.58</x:v>
      </x:c>
      <x:c r="K527" t="str">
        <x:f>XLOOKUP(B527,Orders!A:A,Orders!E:E,"")</x:f>
        <x:v>North</x:v>
      </x:c>
      <x:c r="L527" t="n">
        <x:f>XLOOKUP(B527,Orders!A:A,Orders!B:B,"")</x:f>
        <x:v>45855</x:v>
      </x:c>
      <x:c r="M527" t="str">
        <x:f>XLOOKUP(C527,Products!A:A,Products!C:C,"")</x:f>
        <x:v>Office Supplies</x:v>
      </x:c>
    </x:row>
    <x:row r="528">
      <x:c r="A528" s="15" t="str">
        <x:v>ITEM00224_2</x:v>
      </x:c>
      <x:c r="B528" s="15" t="str">
        <x:v>ORD00224</x:v>
      </x:c>
      <x:c r="C528" s="15" t="str">
        <x:v>PROD019</x:v>
      </x:c>
      <x:c r="D528" s="15" t="n">
        <x:v>5</x:v>
      </x:c>
      <x:c r="E528" s="15" t="n">
        <x:v>5996.29</x:v>
      </x:c>
      <x:c r="F528" s="15" t="n">
        <x:v>0.15</x:v>
      </x:c>
      <x:c r="G528" s="15" t="n">
        <x:v>29981.45</x:v>
      </x:c>
      <x:c r="H528" s="15" t="n">
        <x:v>25484.23</x:v>
      </x:c>
      <x:c r="I528" s="15" t="n">
        <x:v>22550</x:v>
      </x:c>
      <x:c r="J528" s="15" t="n">
        <x:v>2934.23</x:v>
      </x:c>
      <x:c r="K528" t="str">
        <x:f>XLOOKUP(B528,Orders!A:A,Orders!E:E,"")</x:f>
        <x:v>North</x:v>
      </x:c>
      <x:c r="L528" t="n">
        <x:f>XLOOKUP(B528,Orders!A:A,Orders!B:B,"")</x:f>
        <x:v>45855</x:v>
      </x:c>
      <x:c r="M528" t="str">
        <x:f>XLOOKUP(C528,Products!A:A,Products!C:C,"")</x:f>
        <x:v>Electronics</x:v>
      </x:c>
    </x:row>
    <x:row r="529">
      <x:c r="A529" s="15" t="str">
        <x:v>ITEM00224_3</x:v>
      </x:c>
      <x:c r="B529" s="15" t="str">
        <x:v>ORD00224</x:v>
      </x:c>
      <x:c r="C529" s="15" t="str">
        <x:v>PROD025</x:v>
      </x:c>
      <x:c r="D529" s="15" t="n">
        <x:v>8</x:v>
      </x:c>
      <x:c r="E529" s="15" t="n">
        <x:v>1148.84</x:v>
      </x:c>
      <x:c r="F529" s="15" t="n">
        <x:v>0.1</x:v>
      </x:c>
      <x:c r="G529" s="15" t="n">
        <x:v>9190.72</x:v>
      </x:c>
      <x:c r="H529" s="15" t="n">
        <x:v>8271.65</x:v>
      </x:c>
      <x:c r="I529" s="15" t="n">
        <x:v>7024</x:v>
      </x:c>
      <x:c r="J529" s="15" t="n">
        <x:v>1247.65</x:v>
      </x:c>
      <x:c r="K529" t="str">
        <x:f>XLOOKUP(B529,Orders!A:A,Orders!E:E,"")</x:f>
        <x:v>North</x:v>
      </x:c>
      <x:c r="L529" t="n">
        <x:f>XLOOKUP(B529,Orders!A:A,Orders!B:B,"")</x:f>
        <x:v>45855</x:v>
      </x:c>
      <x:c r="M529" t="str">
        <x:f>XLOOKUP(C529,Products!A:A,Products!C:C,"")</x:f>
        <x:v>Furniture</x:v>
      </x:c>
    </x:row>
    <x:row r="530">
      <x:c r="A530" s="15" t="str">
        <x:v>ITEM00224_4</x:v>
      </x:c>
      <x:c r="B530" s="15" t="str">
        <x:v>ORD00224</x:v>
      </x:c>
      <x:c r="C530" s="15" t="str">
        <x:v>PROD006</x:v>
      </x:c>
      <x:c r="D530" s="15" t="n">
        <x:v>3</x:v>
      </x:c>
      <x:c r="E530" s="15" t="n">
        <x:v>4261.26</x:v>
      </x:c>
      <x:c r="F530" s="15" t="n">
        <x:v>0</x:v>
      </x:c>
      <x:c r="G530" s="15" t="n">
        <x:v>12783.78</x:v>
      </x:c>
      <x:c r="H530" s="15" t="n">
        <x:v>12783.78</x:v>
      </x:c>
      <x:c r="I530" s="15" t="n">
        <x:v>9201</x:v>
      </x:c>
      <x:c r="J530" s="15" t="n">
        <x:v>3582.78</x:v>
      </x:c>
      <x:c r="K530" t="str">
        <x:f>XLOOKUP(B530,Orders!A:A,Orders!E:E,"")</x:f>
        <x:v>North</x:v>
      </x:c>
      <x:c r="L530" t="n">
        <x:f>XLOOKUP(B530,Orders!A:A,Orders!B:B,"")</x:f>
        <x:v>45855</x:v>
      </x:c>
      <x:c r="M530" t="str">
        <x:f>XLOOKUP(C530,Products!A:A,Products!C:C,"")</x:f>
        <x:v>Office Supplies</x:v>
      </x:c>
    </x:row>
    <x:row r="531">
      <x:c r="A531" s="15" t="str">
        <x:v>ITEM00225_1</x:v>
      </x:c>
      <x:c r="B531" s="15" t="str">
        <x:v>ORD00225</x:v>
      </x:c>
      <x:c r="C531" s="15" t="str">
        <x:v>PROD029</x:v>
      </x:c>
      <x:c r="D531" s="15" t="n">
        <x:v>3</x:v>
      </x:c>
      <x:c r="E531" s="15" t="n">
        <x:v>8430.77</x:v>
      </x:c>
      <x:c r="F531" s="15" t="n">
        <x:v>0.05</x:v>
      </x:c>
      <x:c r="G531" s="15" t="n">
        <x:v>25292.31</x:v>
      </x:c>
      <x:c r="H531" s="15" t="n">
        <x:v>24027.69</x:v>
      </x:c>
      <x:c r="I531" s="15" t="n">
        <x:v>18555</x:v>
      </x:c>
      <x:c r="J531" s="15" t="n">
        <x:v>5472.69</x:v>
      </x:c>
      <x:c r="K531" t="str">
        <x:f>XLOOKUP(B531,Orders!A:A,Orders!E:E,"")</x:f>
        <x:v>West</x:v>
      </x:c>
      <x:c r="L531" t="n">
        <x:f>XLOOKUP(B531,Orders!A:A,Orders!B:B,"")</x:f>
        <x:v>45939</x:v>
      </x:c>
      <x:c r="M531" t="str">
        <x:f>XLOOKUP(C531,Products!A:A,Products!C:C,"")</x:f>
        <x:v>Office Supplies</x:v>
      </x:c>
    </x:row>
    <x:row r="532">
      <x:c r="A532" s="15" t="str">
        <x:v>ITEM00226_1</x:v>
      </x:c>
      <x:c r="B532" s="15" t="str">
        <x:v>ORD00226</x:v>
      </x:c>
      <x:c r="C532" s="15" t="str">
        <x:v>PROD010</x:v>
      </x:c>
      <x:c r="D532" s="15" t="n">
        <x:v>3</x:v>
      </x:c>
      <x:c r="E532" s="15" t="n">
        <x:v>8670.63</x:v>
      </x:c>
      <x:c r="F532" s="15" t="n">
        <x:v>0</x:v>
      </x:c>
      <x:c r="G532" s="15" t="n">
        <x:v>26011.89</x:v>
      </x:c>
      <x:c r="H532" s="15" t="n">
        <x:v>26011.89</x:v>
      </x:c>
      <x:c r="I532" s="15" t="n">
        <x:v>17559</x:v>
      </x:c>
      <x:c r="J532" s="15" t="n">
        <x:v>8452.89</x:v>
      </x:c>
      <x:c r="K532" t="str">
        <x:f>XLOOKUP(B532,Orders!A:A,Orders!E:E,"")</x:f>
        <x:v>North</x:v>
      </x:c>
      <x:c r="L532" t="n">
        <x:f>XLOOKUP(B532,Orders!A:A,Orders!B:B,"")</x:f>
        <x:v>45869</x:v>
      </x:c>
      <x:c r="M532" t="str">
        <x:f>XLOOKUP(C532,Products!A:A,Products!C:C,"")</x:f>
        <x:v>Accessories</x:v>
      </x:c>
    </x:row>
    <x:row r="533">
      <x:c r="A533" s="15" t="str">
        <x:v>ITEM00226_2</x:v>
      </x:c>
      <x:c r="B533" s="15" t="str">
        <x:v>ORD00226</x:v>
      </x:c>
      <x:c r="C533" s="15" t="str">
        <x:v>PROD026</x:v>
      </x:c>
      <x:c r="D533" s="15" t="n">
        <x:v>6</x:v>
      </x:c>
      <x:c r="E533" s="15" t="n">
        <x:v>3848.69</x:v>
      </x:c>
      <x:c r="F533" s="15" t="n">
        <x:v>0.1</x:v>
      </x:c>
      <x:c r="G533" s="15" t="n">
        <x:v>23092.14</x:v>
      </x:c>
      <x:c r="H533" s="15" t="n">
        <x:v>20782.93</x:v>
      </x:c>
      <x:c r="I533" s="15" t="n">
        <x:v>15804</x:v>
      </x:c>
      <x:c r="J533" s="15" t="n">
        <x:v>4978.93</x:v>
      </x:c>
      <x:c r="K533" t="str">
        <x:f>XLOOKUP(B533,Orders!A:A,Orders!E:E,"")</x:f>
        <x:v>North</x:v>
      </x:c>
      <x:c r="L533" t="n">
        <x:f>XLOOKUP(B533,Orders!A:A,Orders!B:B,"")</x:f>
        <x:v>45869</x:v>
      </x:c>
      <x:c r="M533" t="str">
        <x:f>XLOOKUP(C533,Products!A:A,Products!C:C,"")</x:f>
        <x:v>Accessories</x:v>
      </x:c>
    </x:row>
    <x:row r="534">
      <x:c r="A534" s="15" t="str">
        <x:v>ITEM00227_1</x:v>
      </x:c>
      <x:c r="B534" s="15" t="str">
        <x:v>ORD00227</x:v>
      </x:c>
      <x:c r="C534" s="15" t="str">
        <x:v>PROD023</x:v>
      </x:c>
      <x:c r="D534" s="15" t="n">
        <x:v>3</x:v>
      </x:c>
      <x:c r="E534" s="15" t="n">
        <x:v>5153.56</x:v>
      </x:c>
      <x:c r="F534" s="15" t="n">
        <x:v>0.1</x:v>
      </x:c>
      <x:c r="G534" s="15" t="n">
        <x:v>15460.68</x:v>
      </x:c>
      <x:c r="H534" s="15" t="n">
        <x:v>13914.61</x:v>
      </x:c>
      <x:c r="I534" s="15" t="n">
        <x:v>11874</x:v>
      </x:c>
      <x:c r="J534" s="15" t="n">
        <x:v>2040.61</x:v>
      </x:c>
      <x:c r="K534" t="str">
        <x:f>XLOOKUP(B534,Orders!A:A,Orders!E:E,"")</x:f>
        <x:v>North</x:v>
      </x:c>
      <x:c r="L534" t="n">
        <x:f>XLOOKUP(B534,Orders!A:A,Orders!B:B,"")</x:f>
        <x:v>45967</x:v>
      </x:c>
      <x:c r="M534" t="str">
        <x:f>XLOOKUP(C534,Products!A:A,Products!C:C,"")</x:f>
        <x:v>Electronics</x:v>
      </x:c>
    </x:row>
    <x:row r="535">
      <x:c r="A535" s="15" t="str">
        <x:v>ITEM00228_1</x:v>
      </x:c>
      <x:c r="B535" s="15" t="str">
        <x:v>ORD00228</x:v>
      </x:c>
      <x:c r="C535" s="15" t="str">
        <x:v>PROD009</x:v>
      </x:c>
      <x:c r="D535" s="15" t="n">
        <x:v>5</x:v>
      </x:c>
      <x:c r="E535" s="15" t="n">
        <x:v>4722.96</x:v>
      </x:c>
      <x:c r="F535" s="15" t="n">
        <x:v>0</x:v>
      </x:c>
      <x:c r="G535" s="15" t="n">
        <x:v>23614.8</x:v>
      </x:c>
      <x:c r="H535" s="15" t="n">
        <x:v>23614.8</x:v>
      </x:c>
      <x:c r="I535" s="15" t="n">
        <x:v>16065</x:v>
      </x:c>
      <x:c r="J535" s="15" t="n">
        <x:v>7549.8</x:v>
      </x:c>
      <x:c r="K535" t="str">
        <x:f>XLOOKUP(B535,Orders!A:A,Orders!E:E,"")</x:f>
        <x:v>West</x:v>
      </x:c>
      <x:c r="L535" t="n">
        <x:f>XLOOKUP(B535,Orders!A:A,Orders!B:B,"")</x:f>
        <x:v>46085</x:v>
      </x:c>
      <x:c r="M535" t="str">
        <x:f>XLOOKUP(C535,Products!A:A,Products!C:C,"")</x:f>
        <x:v>Accessories</x:v>
      </x:c>
    </x:row>
    <x:row r="536">
      <x:c r="A536" s="15" t="str">
        <x:v>ITEM00229_1</x:v>
      </x:c>
      <x:c r="B536" s="15" t="str">
        <x:v>ORD00229</x:v>
      </x:c>
      <x:c r="C536" s="15" t="str">
        <x:v>PROD034</x:v>
      </x:c>
      <x:c r="D536" s="15" t="n">
        <x:v>3</x:v>
      </x:c>
      <x:c r="E536" s="15" t="n">
        <x:v>5451.76</x:v>
      </x:c>
      <x:c r="F536" s="15" t="n">
        <x:v>0.1</x:v>
      </x:c>
      <x:c r="G536" s="15" t="n">
        <x:v>16355.28</x:v>
      </x:c>
      <x:c r="H536" s="15" t="n">
        <x:v>14719.75</x:v>
      </x:c>
      <x:c r="I536" s="15" t="n">
        <x:v>11328</x:v>
      </x:c>
      <x:c r="J536" s="15" t="n">
        <x:v>3391.75</x:v>
      </x:c>
      <x:c r="K536" t="str">
        <x:f>XLOOKUP(B536,Orders!A:A,Orders!E:E,"")</x:f>
        <x:v>North</x:v>
      </x:c>
      <x:c r="L536" t="n">
        <x:f>XLOOKUP(B536,Orders!A:A,Orders!B:B,"")</x:f>
        <x:v>45846</x:v>
      </x:c>
      <x:c r="M536" t="str">
        <x:f>XLOOKUP(C536,Products!A:A,Products!C:C,"")</x:f>
        <x:v>Accessories</x:v>
      </x:c>
    </x:row>
    <x:row r="537">
      <x:c r="A537" s="15" t="str">
        <x:v>ITEM00229_2</x:v>
      </x:c>
      <x:c r="B537" s="15" t="str">
        <x:v>ORD00229</x:v>
      </x:c>
      <x:c r="C537" s="15" t="str">
        <x:v>PROD023</x:v>
      </x:c>
      <x:c r="D537" s="15" t="n">
        <x:v>2</x:v>
      </x:c>
      <x:c r="E537" s="15" t="n">
        <x:v>5153.56</x:v>
      </x:c>
      <x:c r="F537" s="15" t="n">
        <x:v>0.15</x:v>
      </x:c>
      <x:c r="G537" s="15" t="n">
        <x:v>10307.12</x:v>
      </x:c>
      <x:c r="H537" s="15" t="n">
        <x:v>8761.05</x:v>
      </x:c>
      <x:c r="I537" s="15" t="n">
        <x:v>7916</x:v>
      </x:c>
      <x:c r="J537" s="15" t="n">
        <x:v>845.05</x:v>
      </x:c>
      <x:c r="K537" t="str">
        <x:f>XLOOKUP(B537,Orders!A:A,Orders!E:E,"")</x:f>
        <x:v>North</x:v>
      </x:c>
      <x:c r="L537" t="n">
        <x:f>XLOOKUP(B537,Orders!A:A,Orders!B:B,"")</x:f>
        <x:v>45846</x:v>
      </x:c>
      <x:c r="M537" t="str">
        <x:f>XLOOKUP(C537,Products!A:A,Products!C:C,"")</x:f>
        <x:v>Electronics</x:v>
      </x:c>
    </x:row>
    <x:row r="538">
      <x:c r="A538" s="15" t="str">
        <x:v>ITEM00230_1</x:v>
      </x:c>
      <x:c r="B538" s="15" t="str">
        <x:v>ORD00230</x:v>
      </x:c>
      <x:c r="C538" s="15" t="str">
        <x:v>PROD020</x:v>
      </x:c>
      <x:c r="D538" s="15" t="n">
        <x:v>5</x:v>
      </x:c>
      <x:c r="E538" s="15" t="n">
        <x:v>6564.04</x:v>
      </x:c>
      <x:c r="F538" s="15" t="n">
        <x:v>0.15</x:v>
      </x:c>
      <x:c r="G538" s="15" t="n">
        <x:v>32820.2</x:v>
      </x:c>
      <x:c r="H538" s="15" t="n">
        <x:v>27897.17</x:v>
      </x:c>
      <x:c r="I538" s="15" t="n">
        <x:v>22925</x:v>
      </x:c>
      <x:c r="J538" s="15" t="n">
        <x:v>4972.17</x:v>
      </x:c>
      <x:c r="K538" t="str">
        <x:f>XLOOKUP(B538,Orders!A:A,Orders!E:E,"")</x:f>
        <x:v>North</x:v>
      </x:c>
      <x:c r="L538" t="n">
        <x:f>XLOOKUP(B538,Orders!A:A,Orders!B:B,"")</x:f>
        <x:v>46069</x:v>
      </x:c>
      <x:c r="M538" t="str">
        <x:f>XLOOKUP(C538,Products!A:A,Products!C:C,"")</x:f>
        <x:v>Accessories</x:v>
      </x:c>
    </x:row>
    <x:row r="539">
      <x:c r="A539" s="15" t="str">
        <x:v>ITEM00230_2</x:v>
      </x:c>
      <x:c r="B539" s="15" t="str">
        <x:v>ORD00230</x:v>
      </x:c>
      <x:c r="C539" s="15" t="str">
        <x:v>PROD023</x:v>
      </x:c>
      <x:c r="D539" s="15" t="n">
        <x:v>8</x:v>
      </x:c>
      <x:c r="E539" s="15" t="n">
        <x:v>5153.56</x:v>
      </x:c>
      <x:c r="F539" s="15" t="n">
        <x:v>0</x:v>
      </x:c>
      <x:c r="G539" s="15" t="n">
        <x:v>41228.48</x:v>
      </x:c>
      <x:c r="H539" s="15" t="n">
        <x:v>41228.48</x:v>
      </x:c>
      <x:c r="I539" s="15" t="n">
        <x:v>31664</x:v>
      </x:c>
      <x:c r="J539" s="15" t="n">
        <x:v>9564.48</x:v>
      </x:c>
      <x:c r="K539" t="str">
        <x:f>XLOOKUP(B539,Orders!A:A,Orders!E:E,"")</x:f>
        <x:v>North</x:v>
      </x:c>
      <x:c r="L539" t="n">
        <x:f>XLOOKUP(B539,Orders!A:A,Orders!B:B,"")</x:f>
        <x:v>46069</x:v>
      </x:c>
      <x:c r="M539" t="str">
        <x:f>XLOOKUP(C539,Products!A:A,Products!C:C,"")</x:f>
        <x:v>Electronics</x:v>
      </x:c>
    </x:row>
    <x:row r="540">
      <x:c r="A540" s="15" t="str">
        <x:v>ITEM00230_3</x:v>
      </x:c>
      <x:c r="B540" s="15" t="str">
        <x:v>ORD00230</x:v>
      </x:c>
      <x:c r="C540" s="15" t="str">
        <x:v>PROD031</x:v>
      </x:c>
      <x:c r="D540" s="15" t="n">
        <x:v>2</x:v>
      </x:c>
      <x:c r="E540" s="15" t="n">
        <x:v>3371.81</x:v>
      </x:c>
      <x:c r="F540" s="15" t="n">
        <x:v>0.05</x:v>
      </x:c>
      <x:c r="G540" s="15" t="n">
        <x:v>6743.62</x:v>
      </x:c>
      <x:c r="H540" s="15" t="n">
        <x:v>6406.44</x:v>
      </x:c>
      <x:c r="I540" s="15" t="n">
        <x:v>5594</x:v>
      </x:c>
      <x:c r="J540" s="15" t="n">
        <x:v>812.44</x:v>
      </x:c>
      <x:c r="K540" t="str">
        <x:f>XLOOKUP(B540,Orders!A:A,Orders!E:E,"")</x:f>
        <x:v>North</x:v>
      </x:c>
      <x:c r="L540" t="n">
        <x:f>XLOOKUP(B540,Orders!A:A,Orders!B:B,"")</x:f>
        <x:v>46069</x:v>
      </x:c>
      <x:c r="M540" t="str">
        <x:f>XLOOKUP(C540,Products!A:A,Products!C:C,"")</x:f>
        <x:v>Furniture</x:v>
      </x:c>
    </x:row>
    <x:row r="541">
      <x:c r="A541" s="15" t="str">
        <x:v>ITEM00230_4</x:v>
      </x:c>
      <x:c r="B541" s="15" t="str">
        <x:v>ORD00230</x:v>
      </x:c>
      <x:c r="C541" s="15" t="str">
        <x:v>PROD021</x:v>
      </x:c>
      <x:c r="D541" s="15" t="n">
        <x:v>6</x:v>
      </x:c>
      <x:c r="E541" s="15" t="n">
        <x:v>6748.85</x:v>
      </x:c>
      <x:c r="F541" s="15" t="n">
        <x:v>0.1</x:v>
      </x:c>
      <x:c r="G541" s="15" t="n">
        <x:v>40493.1</x:v>
      </x:c>
      <x:c r="H541" s="15" t="n">
        <x:v>36443.79</x:v>
      </x:c>
      <x:c r="I541" s="15" t="n">
        <x:v>29994</x:v>
      </x:c>
      <x:c r="J541" s="15" t="n">
        <x:v>6449.79</x:v>
      </x:c>
      <x:c r="K541" t="str">
        <x:f>XLOOKUP(B541,Orders!A:A,Orders!E:E,"")</x:f>
        <x:v>North</x:v>
      </x:c>
      <x:c r="L541" t="n">
        <x:f>XLOOKUP(B541,Orders!A:A,Orders!B:B,"")</x:f>
        <x:v>46069</x:v>
      </x:c>
      <x:c r="M541" t="str">
        <x:f>XLOOKUP(C541,Products!A:A,Products!C:C,"")</x:f>
        <x:v>Electronics</x:v>
      </x:c>
    </x:row>
    <x:row r="542">
      <x:c r="A542" s="15" t="str">
        <x:v>ITEM00231_1</x:v>
      </x:c>
      <x:c r="B542" s="15" t="str">
        <x:v>ORD00231</x:v>
      </x:c>
      <x:c r="C542" s="15" t="str">
        <x:v>PROD024</x:v>
      </x:c>
      <x:c r="D542" s="15" t="n">
        <x:v>4</x:v>
      </x:c>
      <x:c r="E542" s="15" t="n">
        <x:v>4018</x:v>
      </x:c>
      <x:c r="F542" s="15" t="n">
        <x:v>0.15</x:v>
      </x:c>
      <x:c r="G542" s="15" t="n">
        <x:v>16072</x:v>
      </x:c>
      <x:c r="H542" s="15" t="n">
        <x:v>13661.2</x:v>
      </x:c>
      <x:c r="I542" s="15" t="n">
        <x:v>12768</x:v>
      </x:c>
      <x:c r="J542" s="15" t="n">
        <x:v>893.2</x:v>
      </x:c>
      <x:c r="K542" t="str">
        <x:f>XLOOKUP(B542,Orders!A:A,Orders!E:E,"")</x:f>
        <x:v>West</x:v>
      </x:c>
      <x:c r="L542" t="n">
        <x:f>XLOOKUP(B542,Orders!A:A,Orders!B:B,"")</x:f>
        <x:v>45712</x:v>
      </x:c>
      <x:c r="M542" t="str">
        <x:f>XLOOKUP(C542,Products!A:A,Products!C:C,"")</x:f>
        <x:v>Furniture</x:v>
      </x:c>
    </x:row>
    <x:row r="543">
      <x:c r="A543" s="15" t="str">
        <x:v>ITEM00232_1</x:v>
      </x:c>
      <x:c r="B543" s="15" t="str">
        <x:v>ORD00232</x:v>
      </x:c>
      <x:c r="C543" s="15" t="str">
        <x:v>PROD015</x:v>
      </x:c>
      <x:c r="D543" s="15" t="n">
        <x:v>3</x:v>
      </x:c>
      <x:c r="E543" s="15" t="n">
        <x:v>5903.1</x:v>
      </x:c>
      <x:c r="F543" s="15" t="n">
        <x:v>0.15</x:v>
      </x:c>
      <x:c r="G543" s="15" t="n">
        <x:v>17709.3</x:v>
      </x:c>
      <x:c r="H543" s="15" t="n">
        <x:v>15052.9</x:v>
      </x:c>
      <x:c r="I543" s="15" t="n">
        <x:v>14355</x:v>
      </x:c>
      <x:c r="J543" s="15" t="n">
        <x:v>697.9</x:v>
      </x:c>
      <x:c r="K543" t="str">
        <x:f>XLOOKUP(B543,Orders!A:A,Orders!E:E,"")</x:f>
        <x:v>North</x:v>
      </x:c>
      <x:c r="L543" t="n">
        <x:f>XLOOKUP(B543,Orders!A:A,Orders!B:B,"")</x:f>
        <x:v>46155</x:v>
      </x:c>
      <x:c r="M543" t="str">
        <x:f>XLOOKUP(C543,Products!A:A,Products!C:C,"")</x:f>
        <x:v>Electronics</x:v>
      </x:c>
    </x:row>
    <x:row r="544">
      <x:c r="A544" s="15" t="str">
        <x:v>ITEM00232_2</x:v>
      </x:c>
      <x:c r="B544" s="15" t="str">
        <x:v>ORD00232</x:v>
      </x:c>
      <x:c r="C544" s="15" t="str">
        <x:v>PROD038</x:v>
      </x:c>
      <x:c r="D544" s="15" t="n">
        <x:v>5</x:v>
      </x:c>
      <x:c r="E544" s="15" t="n">
        <x:v>5219.7</x:v>
      </x:c>
      <x:c r="F544" s="15" t="n">
        <x:v>0.15</x:v>
      </x:c>
      <x:c r="G544" s="15" t="n">
        <x:v>26098.5</x:v>
      </x:c>
      <x:c r="H544" s="15" t="n">
        <x:v>22183.72</x:v>
      </x:c>
      <x:c r="I544" s="15" t="n">
        <x:v>19680</x:v>
      </x:c>
      <x:c r="J544" s="15" t="n">
        <x:v>2503.72</x:v>
      </x:c>
      <x:c r="K544" t="str">
        <x:f>XLOOKUP(B544,Orders!A:A,Orders!E:E,"")</x:f>
        <x:v>North</x:v>
      </x:c>
      <x:c r="L544" t="n">
        <x:f>XLOOKUP(B544,Orders!A:A,Orders!B:B,"")</x:f>
        <x:v>46155</x:v>
      </x:c>
      <x:c r="M544" t="str">
        <x:f>XLOOKUP(C544,Products!A:A,Products!C:C,"")</x:f>
        <x:v>Office Supplies</x:v>
      </x:c>
    </x:row>
    <x:row r="545">
      <x:c r="A545" s="15" t="str">
        <x:v>ITEM00232_3</x:v>
      </x:c>
      <x:c r="B545" s="15" t="str">
        <x:v>ORD00232</x:v>
      </x:c>
      <x:c r="C545" s="15" t="str">
        <x:v>PROD005</x:v>
      </x:c>
      <x:c r="D545" s="15" t="n">
        <x:v>8</x:v>
      </x:c>
      <x:c r="E545" s="15" t="n">
        <x:v>6453.62</x:v>
      </x:c>
      <x:c r="F545" s="15" t="n">
        <x:v>0.05</x:v>
      </x:c>
      <x:c r="G545" s="15" t="n">
        <x:v>51628.96</x:v>
      </x:c>
      <x:c r="H545" s="15" t="n">
        <x:v>49047.51</x:v>
      </x:c>
      <x:c r="I545" s="15" t="n">
        <x:v>38784</x:v>
      </x:c>
      <x:c r="J545" s="15" t="n">
        <x:v>10263.51</x:v>
      </x:c>
      <x:c r="K545" t="str">
        <x:f>XLOOKUP(B545,Orders!A:A,Orders!E:E,"")</x:f>
        <x:v>North</x:v>
      </x:c>
      <x:c r="L545" t="n">
        <x:f>XLOOKUP(B545,Orders!A:A,Orders!B:B,"")</x:f>
        <x:v>46155</x:v>
      </x:c>
      <x:c r="M545" t="str">
        <x:f>XLOOKUP(C545,Products!A:A,Products!C:C,"")</x:f>
        <x:v>Office Supplies</x:v>
      </x:c>
    </x:row>
    <x:row r="546">
      <x:c r="A546" s="15" t="str">
        <x:v>ITEM00233_1</x:v>
      </x:c>
      <x:c r="B546" s="15" t="str">
        <x:v>ORD00233</x:v>
      </x:c>
      <x:c r="C546" s="15" t="str">
        <x:v>PROD037</x:v>
      </x:c>
      <x:c r="D546" s="15" t="n">
        <x:v>4</x:v>
      </x:c>
      <x:c r="E546" s="15" t="n">
        <x:v>9876.8</x:v>
      </x:c>
      <x:c r="F546" s="15" t="n">
        <x:v>0.05</x:v>
      </x:c>
      <x:c r="G546" s="15" t="n">
        <x:v>39507.2</x:v>
      </x:c>
      <x:c r="H546" s="15" t="n">
        <x:v>37531.84</x:v>
      </x:c>
      <x:c r="I546" s="15" t="n">
        <x:v>28496</x:v>
      </x:c>
      <x:c r="J546" s="15" t="n">
        <x:v>9035.84</x:v>
      </x:c>
      <x:c r="K546" t="str">
        <x:f>XLOOKUP(B546,Orders!A:A,Orders!E:E,"")</x:f>
        <x:v>North</x:v>
      </x:c>
      <x:c r="L546" t="n">
        <x:f>XLOOKUP(B546,Orders!A:A,Orders!B:B,"")</x:f>
        <x:v>46034</x:v>
      </x:c>
      <x:c r="M546" t="str">
        <x:f>XLOOKUP(C546,Products!A:A,Products!C:C,"")</x:f>
        <x:v>Accessories</x:v>
      </x:c>
    </x:row>
    <x:row r="547">
      <x:c r="A547" s="15" t="str">
        <x:v>ITEM00233_2</x:v>
      </x:c>
      <x:c r="B547" s="15" t="str">
        <x:v>ORD00233</x:v>
      </x:c>
      <x:c r="C547" s="15" t="str">
        <x:v>PROD015</x:v>
      </x:c>
      <x:c r="D547" s="15" t="n">
        <x:v>8</x:v>
      </x:c>
      <x:c r="E547" s="15" t="n">
        <x:v>5903.1</x:v>
      </x:c>
      <x:c r="F547" s="15" t="n">
        <x:v>0.1</x:v>
      </x:c>
      <x:c r="G547" s="15" t="n">
        <x:v>47224.8</x:v>
      </x:c>
      <x:c r="H547" s="15" t="n">
        <x:v>42502.32</x:v>
      </x:c>
      <x:c r="I547" s="15" t="n">
        <x:v>38280</x:v>
      </x:c>
      <x:c r="J547" s="15" t="n">
        <x:v>4222.32</x:v>
      </x:c>
      <x:c r="K547" t="str">
        <x:f>XLOOKUP(B547,Orders!A:A,Orders!E:E,"")</x:f>
        <x:v>North</x:v>
      </x:c>
      <x:c r="L547" t="n">
        <x:f>XLOOKUP(B547,Orders!A:A,Orders!B:B,"")</x:f>
        <x:v>46034</x:v>
      </x:c>
      <x:c r="M547" t="str">
        <x:f>XLOOKUP(C547,Products!A:A,Products!C:C,"")</x:f>
        <x:v>Electronics</x:v>
      </x:c>
    </x:row>
    <x:row r="548">
      <x:c r="A548" s="15" t="str">
        <x:v>ITEM00233_3</x:v>
      </x:c>
      <x:c r="B548" s="15" t="str">
        <x:v>ORD00233</x:v>
      </x:c>
      <x:c r="C548" s="15" t="str">
        <x:v>PROD012</x:v>
      </x:c>
      <x:c r="D548" s="15" t="n">
        <x:v>4</x:v>
      </x:c>
      <x:c r="E548" s="15" t="n">
        <x:v>7989.38</x:v>
      </x:c>
      <x:c r="F548" s="15" t="n">
        <x:v>0</x:v>
      </x:c>
      <x:c r="G548" s="15" t="n">
        <x:v>31957.52</x:v>
      </x:c>
      <x:c r="H548" s="15" t="n">
        <x:v>31957.52</x:v>
      </x:c>
      <x:c r="I548" s="15" t="n">
        <x:v>25940</x:v>
      </x:c>
      <x:c r="J548" s="15" t="n">
        <x:v>6017.52</x:v>
      </x:c>
      <x:c r="K548" t="str">
        <x:f>XLOOKUP(B548,Orders!A:A,Orders!E:E,"")</x:f>
        <x:v>North</x:v>
      </x:c>
      <x:c r="L548" t="n">
        <x:f>XLOOKUP(B548,Orders!A:A,Orders!B:B,"")</x:f>
        <x:v>46034</x:v>
      </x:c>
      <x:c r="M548" t="str">
        <x:f>XLOOKUP(C548,Products!A:A,Products!C:C,"")</x:f>
        <x:v>Electronics</x:v>
      </x:c>
    </x:row>
    <x:row r="549">
      <x:c r="A549" s="15" t="str">
        <x:v>ITEM00234_1</x:v>
      </x:c>
      <x:c r="B549" s="15" t="str">
        <x:v>ORD00234</x:v>
      </x:c>
      <x:c r="C549" s="15" t="str">
        <x:v>PROD033</x:v>
      </x:c>
      <x:c r="D549" s="15" t="n">
        <x:v>5</x:v>
      </x:c>
      <x:c r="E549" s="15" t="n">
        <x:v>3912.41</x:v>
      </x:c>
      <x:c r="F549" s="15" t="n">
        <x:v>0</x:v>
      </x:c>
      <x:c r="G549" s="15" t="n">
        <x:v>19562.05</x:v>
      </x:c>
      <x:c r="H549" s="15" t="n">
        <x:v>19562.05</x:v>
      </x:c>
      <x:c r="I549" s="15" t="n">
        <x:v>14955</x:v>
      </x:c>
      <x:c r="J549" s="15" t="n">
        <x:v>4607.05</x:v>
      </x:c>
      <x:c r="K549" t="str">
        <x:f>XLOOKUP(B549,Orders!A:A,Orders!E:E,"")</x:f>
        <x:v>South</x:v>
      </x:c>
      <x:c r="L549" t="n">
        <x:f>XLOOKUP(B549,Orders!A:A,Orders!B:B,"")</x:f>
        <x:v>45888</x:v>
      </x:c>
      <x:c r="M549" t="str">
        <x:f>XLOOKUP(C549,Products!A:A,Products!C:C,"")</x:f>
        <x:v>Furniture</x:v>
      </x:c>
    </x:row>
    <x:row r="550">
      <x:c r="A550" s="15" t="str">
        <x:v>ITEM00234_2</x:v>
      </x:c>
      <x:c r="B550" s="15" t="str">
        <x:v>ORD00234</x:v>
      </x:c>
      <x:c r="C550" s="15" t="str">
        <x:v>PROD020</x:v>
      </x:c>
      <x:c r="D550" s="15" t="n">
        <x:v>3</x:v>
      </x:c>
      <x:c r="E550" s="15" t="n">
        <x:v>6564.04</x:v>
      </x:c>
      <x:c r="F550" s="15" t="n">
        <x:v>0.05</x:v>
      </x:c>
      <x:c r="G550" s="15" t="n">
        <x:v>19692.12</x:v>
      </x:c>
      <x:c r="H550" s="15" t="n">
        <x:v>18707.51</x:v>
      </x:c>
      <x:c r="I550" s="15" t="n">
        <x:v>13755</x:v>
      </x:c>
      <x:c r="J550" s="15" t="n">
        <x:v>4952.51</x:v>
      </x:c>
      <x:c r="K550" t="str">
        <x:f>XLOOKUP(B550,Orders!A:A,Orders!E:E,"")</x:f>
        <x:v>South</x:v>
      </x:c>
      <x:c r="L550" t="n">
        <x:f>XLOOKUP(B550,Orders!A:A,Orders!B:B,"")</x:f>
        <x:v>45888</x:v>
      </x:c>
      <x:c r="M550" t="str">
        <x:f>XLOOKUP(C550,Products!A:A,Products!C:C,"")</x:f>
        <x:v>Accessories</x:v>
      </x:c>
    </x:row>
    <x:row r="551">
      <x:c r="A551" s="15" t="str">
        <x:v>ITEM00234_3</x:v>
      </x:c>
      <x:c r="B551" s="15" t="str">
        <x:v>ORD00234</x:v>
      </x:c>
      <x:c r="C551" s="15" t="str">
        <x:v>PROD001</x:v>
      </x:c>
      <x:c r="D551" s="15" t="n">
        <x:v>3</x:v>
      </x:c>
      <x:c r="E551" s="15" t="n">
        <x:v>8672.7</x:v>
      </x:c>
      <x:c r="F551" s="15" t="n">
        <x:v>0.1</x:v>
      </x:c>
      <x:c r="G551" s="15" t="n">
        <x:v>26018.1</x:v>
      </x:c>
      <x:c r="H551" s="15" t="n">
        <x:v>23416.29</x:v>
      </x:c>
      <x:c r="I551" s="15" t="n">
        <x:v>18489</x:v>
      </x:c>
      <x:c r="J551" s="15" t="n">
        <x:v>4927.29</x:v>
      </x:c>
      <x:c r="K551" t="str">
        <x:f>XLOOKUP(B551,Orders!A:A,Orders!E:E,"")</x:f>
        <x:v>South</x:v>
      </x:c>
      <x:c r="L551" t="n">
        <x:f>XLOOKUP(B551,Orders!A:A,Orders!B:B,"")</x:f>
        <x:v>45888</x:v>
      </x:c>
      <x:c r="M551" t="str">
        <x:f>XLOOKUP(C551,Products!A:A,Products!C:C,"")</x:f>
        <x:v>Office Supplies</x:v>
      </x:c>
    </x:row>
    <x:row r="552">
      <x:c r="A552" s="15" t="str">
        <x:v>ITEM00235_1</x:v>
      </x:c>
      <x:c r="B552" s="15" t="str">
        <x:v>ORD00235</x:v>
      </x:c>
      <x:c r="C552" s="15" t="str">
        <x:v>PROD027</x:v>
      </x:c>
      <x:c r="D552" s="15" t="n">
        <x:v>4</x:v>
      </x:c>
      <x:c r="E552" s="15" t="n">
        <x:v>6979.71</x:v>
      </x:c>
      <x:c r="F552" s="15" t="n">
        <x:v>0</x:v>
      </x:c>
      <x:c r="G552" s="15" t="n">
        <x:v>27918.84</x:v>
      </x:c>
      <x:c r="H552" s="15" t="n">
        <x:v>27918.84</x:v>
      </x:c>
      <x:c r="I552" s="15" t="n">
        <x:v>22548</x:v>
      </x:c>
      <x:c r="J552" s="15" t="n">
        <x:v>5370.84</x:v>
      </x:c>
      <x:c r="K552" t="str">
        <x:f>XLOOKUP(B552,Orders!A:A,Orders!E:E,"")</x:f>
        <x:v>West</x:v>
      </x:c>
      <x:c r="L552" t="n">
        <x:f>XLOOKUP(B552,Orders!A:A,Orders!B:B,"")</x:f>
        <x:v>46059</x:v>
      </x:c>
      <x:c r="M552" t="str">
        <x:f>XLOOKUP(C552,Products!A:A,Products!C:C,"")</x:f>
        <x:v>Electronics</x:v>
      </x:c>
    </x:row>
    <x:row r="553">
      <x:c r="A553" s="15" t="str">
        <x:v>ITEM00235_2</x:v>
      </x:c>
      <x:c r="B553" s="15" t="str">
        <x:v>ORD00235</x:v>
      </x:c>
      <x:c r="C553" s="15" t="str">
        <x:v>PROD023</x:v>
      </x:c>
      <x:c r="D553" s="15" t="n">
        <x:v>6</x:v>
      </x:c>
      <x:c r="E553" s="15" t="n">
        <x:v>5153.56</x:v>
      </x:c>
      <x:c r="F553" s="15" t="n">
        <x:v>0</x:v>
      </x:c>
      <x:c r="G553" s="15" t="n">
        <x:v>30921.36</x:v>
      </x:c>
      <x:c r="H553" s="15" t="n">
        <x:v>30921.36</x:v>
      </x:c>
      <x:c r="I553" s="15" t="n">
        <x:v>23748</x:v>
      </x:c>
      <x:c r="J553" s="15" t="n">
        <x:v>7173.36</x:v>
      </x:c>
      <x:c r="K553" t="str">
        <x:f>XLOOKUP(B553,Orders!A:A,Orders!E:E,"")</x:f>
        <x:v>West</x:v>
      </x:c>
      <x:c r="L553" t="n">
        <x:f>XLOOKUP(B553,Orders!A:A,Orders!B:B,"")</x:f>
        <x:v>46059</x:v>
      </x:c>
      <x:c r="M553" t="str">
        <x:f>XLOOKUP(C553,Products!A:A,Products!C:C,"")</x:f>
        <x:v>Electronics</x:v>
      </x:c>
    </x:row>
    <x:row r="554">
      <x:c r="A554" s="15" t="str">
        <x:v>ITEM00235_3</x:v>
      </x:c>
      <x:c r="B554" s="15" t="str">
        <x:v>ORD00235</x:v>
      </x:c>
      <x:c r="C554" s="15" t="str">
        <x:v>PROD010</x:v>
      </x:c>
      <x:c r="D554" s="15" t="n">
        <x:v>7</x:v>
      </x:c>
      <x:c r="E554" s="15" t="n">
        <x:v>8670.63</x:v>
      </x:c>
      <x:c r="F554" s="15" t="n">
        <x:v>0</x:v>
      </x:c>
      <x:c r="G554" s="15" t="n">
        <x:v>60694.41</x:v>
      </x:c>
      <x:c r="H554" s="15" t="n">
        <x:v>60694.41</x:v>
      </x:c>
      <x:c r="I554" s="15" t="n">
        <x:v>40971</x:v>
      </x:c>
      <x:c r="J554" s="15" t="n">
        <x:v>19723.41</x:v>
      </x:c>
      <x:c r="K554" t="str">
        <x:f>XLOOKUP(B554,Orders!A:A,Orders!E:E,"")</x:f>
        <x:v>West</x:v>
      </x:c>
      <x:c r="L554" t="n">
        <x:f>XLOOKUP(B554,Orders!A:A,Orders!B:B,"")</x:f>
        <x:v>46059</x:v>
      </x:c>
      <x:c r="M554" t="str">
        <x:f>XLOOKUP(C554,Products!A:A,Products!C:C,"")</x:f>
        <x:v>Accessories</x:v>
      </x:c>
    </x:row>
    <x:row r="555">
      <x:c r="A555" s="15" t="str">
        <x:v>ITEM00236_1</x:v>
      </x:c>
      <x:c r="B555" s="15" t="str">
        <x:v>ORD00236</x:v>
      </x:c>
      <x:c r="C555" s="15" t="str">
        <x:v>PROD022</x:v>
      </x:c>
      <x:c r="D555" s="15" t="n">
        <x:v>1</x:v>
      </x:c>
      <x:c r="E555" s="15" t="n">
        <x:v>7775.36</x:v>
      </x:c>
      <x:c r="F555" s="15" t="n">
        <x:v>0.1</x:v>
      </x:c>
      <x:c r="G555" s="15" t="n">
        <x:v>7775.36</x:v>
      </x:c>
      <x:c r="H555" s="15" t="n">
        <x:v>6997.82</x:v>
      </x:c>
      <x:c r="I555" s="15" t="n">
        <x:v>6331</x:v>
      </x:c>
      <x:c r="J555" s="15" t="n">
        <x:v>666.82</x:v>
      </x:c>
      <x:c r="K555" t="str">
        <x:f>XLOOKUP(B555,Orders!A:A,Orders!E:E,"")</x:f>
        <x:v>West</x:v>
      </x:c>
      <x:c r="L555" t="n">
        <x:f>XLOOKUP(B555,Orders!A:A,Orders!B:B,"")</x:f>
        <x:v>46061</x:v>
      </x:c>
      <x:c r="M555" t="str">
        <x:f>XLOOKUP(C555,Products!A:A,Products!C:C,"")</x:f>
        <x:v>Furniture</x:v>
      </x:c>
    </x:row>
    <x:row r="556">
      <x:c r="A556" s="15" t="str">
        <x:v>ITEM00237_1</x:v>
      </x:c>
      <x:c r="B556" s="15" t="str">
        <x:v>ORD00237</x:v>
      </x:c>
      <x:c r="C556" s="15" t="str">
        <x:v>PROD023</x:v>
      </x:c>
      <x:c r="D556" s="15" t="n">
        <x:v>5</x:v>
      </x:c>
      <x:c r="E556" s="15" t="n">
        <x:v>5153.56</x:v>
      </x:c>
      <x:c r="F556" s="15" t="n">
        <x:v>0</x:v>
      </x:c>
      <x:c r="G556" s="15" t="n">
        <x:v>25767.8</x:v>
      </x:c>
      <x:c r="H556" s="15" t="n">
        <x:v>25767.8</x:v>
      </x:c>
      <x:c r="I556" s="15" t="n">
        <x:v>19790</x:v>
      </x:c>
      <x:c r="J556" s="15" t="n">
        <x:v>5977.8</x:v>
      </x:c>
      <x:c r="K556" t="str">
        <x:f>XLOOKUP(B556,Orders!A:A,Orders!E:E,"")</x:f>
        <x:v>North</x:v>
      </x:c>
      <x:c r="L556" t="n">
        <x:f>XLOOKUP(B556,Orders!A:A,Orders!B:B,"")</x:f>
        <x:v>45961</x:v>
      </x:c>
      <x:c r="M556" t="str">
        <x:f>XLOOKUP(C556,Products!A:A,Products!C:C,"")</x:f>
        <x:v>Electronics</x:v>
      </x:c>
    </x:row>
    <x:row r="557">
      <x:c r="A557" s="15" t="str">
        <x:v>ITEM00237_2</x:v>
      </x:c>
      <x:c r="B557" s="15" t="str">
        <x:v>ORD00237</x:v>
      </x:c>
      <x:c r="C557" s="15" t="str">
        <x:v>PROD025</x:v>
      </x:c>
      <x:c r="D557" s="15" t="n">
        <x:v>6</x:v>
      </x:c>
      <x:c r="E557" s="15" t="n">
        <x:v>1148.84</x:v>
      </x:c>
      <x:c r="F557" s="15" t="n">
        <x:v>0.15</x:v>
      </x:c>
      <x:c r="G557" s="15" t="n">
        <x:v>6893.04</x:v>
      </x:c>
      <x:c r="H557" s="15" t="n">
        <x:v>5859.08</x:v>
      </x:c>
      <x:c r="I557" s="15" t="n">
        <x:v>5268</x:v>
      </x:c>
      <x:c r="J557" s="15" t="n">
        <x:v>591.08</x:v>
      </x:c>
      <x:c r="K557" t="str">
        <x:f>XLOOKUP(B557,Orders!A:A,Orders!E:E,"")</x:f>
        <x:v>North</x:v>
      </x:c>
      <x:c r="L557" t="n">
        <x:f>XLOOKUP(B557,Orders!A:A,Orders!B:B,"")</x:f>
        <x:v>45961</x:v>
      </x:c>
      <x:c r="M557" t="str">
        <x:f>XLOOKUP(C557,Products!A:A,Products!C:C,"")</x:f>
        <x:v>Furniture</x:v>
      </x:c>
    </x:row>
    <x:row r="558">
      <x:c r="A558" s="15" t="str">
        <x:v>ITEM00237_3</x:v>
      </x:c>
      <x:c r="B558" s="15" t="str">
        <x:v>ORD00237</x:v>
      </x:c>
      <x:c r="C558" s="15" t="str">
        <x:v>PROD003</x:v>
      </x:c>
      <x:c r="D558" s="15" t="n">
        <x:v>4</x:v>
      </x:c>
      <x:c r="E558" s="15" t="n">
        <x:v>10757.89</x:v>
      </x:c>
      <x:c r="F558" s="15" t="n">
        <x:v>0.1</x:v>
      </x:c>
      <x:c r="G558" s="15" t="n">
        <x:v>43031.56</x:v>
      </x:c>
      <x:c r="H558" s="15" t="n">
        <x:v>38728.4</x:v>
      </x:c>
      <x:c r="I558" s="15" t="n">
        <x:v>29684</x:v>
      </x:c>
      <x:c r="J558" s="15" t="n">
        <x:v>9044.4</x:v>
      </x:c>
      <x:c r="K558" t="str">
        <x:f>XLOOKUP(B558,Orders!A:A,Orders!E:E,"")</x:f>
        <x:v>North</x:v>
      </x:c>
      <x:c r="L558" t="n">
        <x:f>XLOOKUP(B558,Orders!A:A,Orders!B:B,"")</x:f>
        <x:v>45961</x:v>
      </x:c>
      <x:c r="M558" t="str">
        <x:f>XLOOKUP(C558,Products!A:A,Products!C:C,"")</x:f>
        <x:v>Accessories</x:v>
      </x:c>
    </x:row>
    <x:row r="559">
      <x:c r="A559" s="15" t="str">
        <x:v>ITEM00237_4</x:v>
      </x:c>
      <x:c r="B559" s="15" t="str">
        <x:v>ORD00237</x:v>
      </x:c>
      <x:c r="C559" s="15" t="str">
        <x:v>PROD039</x:v>
      </x:c>
      <x:c r="D559" s="15" t="n">
        <x:v>3</x:v>
      </x:c>
      <x:c r="E559" s="15" t="n">
        <x:v>5945.62</x:v>
      </x:c>
      <x:c r="F559" s="15" t="n">
        <x:v>0.15</x:v>
      </x:c>
      <x:c r="G559" s="15" t="n">
        <x:v>17836.86</x:v>
      </x:c>
      <x:c r="H559" s="15" t="n">
        <x:v>15161.33</x:v>
      </x:c>
      <x:c r="I559" s="15" t="n">
        <x:v>13719</x:v>
      </x:c>
      <x:c r="J559" s="15" t="n">
        <x:v>1442.33</x:v>
      </x:c>
      <x:c r="K559" t="str">
        <x:f>XLOOKUP(B559,Orders!A:A,Orders!E:E,"")</x:f>
        <x:v>North</x:v>
      </x:c>
      <x:c r="L559" t="n">
        <x:f>XLOOKUP(B559,Orders!A:A,Orders!B:B,"")</x:f>
        <x:v>45961</x:v>
      </x:c>
      <x:c r="M559" t="str">
        <x:f>XLOOKUP(C559,Products!A:A,Products!C:C,"")</x:f>
        <x:v>Office Supplies</x:v>
      </x:c>
    </x:row>
    <x:row r="560">
      <x:c r="A560" s="15" t="str">
        <x:v>ITEM00238_1</x:v>
      </x:c>
      <x:c r="B560" s="15" t="str">
        <x:v>ORD00238</x:v>
      </x:c>
      <x:c r="C560" s="15" t="str">
        <x:v>PROD040</x:v>
      </x:c>
      <x:c r="D560" s="15" t="n">
        <x:v>1</x:v>
      </x:c>
      <x:c r="E560" s="15" t="n">
        <x:v>8561.07</x:v>
      </x:c>
      <x:c r="F560" s="15" t="n">
        <x:v>0</x:v>
      </x:c>
      <x:c r="G560" s="15" t="n">
        <x:v>8561.07</x:v>
      </x:c>
      <x:c r="H560" s="15" t="n">
        <x:v>8561.07</x:v>
      </x:c>
      <x:c r="I560" s="15" t="n">
        <x:v>6841</x:v>
      </x:c>
      <x:c r="J560" s="15" t="n">
        <x:v>1720.07</x:v>
      </x:c>
      <x:c r="K560" t="str">
        <x:f>XLOOKUP(B560,Orders!A:A,Orders!E:E,"")</x:f>
        <x:v>North</x:v>
      </x:c>
      <x:c r="L560" t="n">
        <x:f>XLOOKUP(B560,Orders!A:A,Orders!B:B,"")</x:f>
        <x:v>46166</x:v>
      </x:c>
      <x:c r="M560" t="str">
        <x:f>XLOOKUP(C560,Products!A:A,Products!C:C,"")</x:f>
        <x:v>Electronics</x:v>
      </x:c>
    </x:row>
    <x:row r="561">
      <x:c r="A561" s="15" t="str">
        <x:v>ITEM00239_1</x:v>
      </x:c>
      <x:c r="B561" s="15" t="str">
        <x:v>ORD00239</x:v>
      </x:c>
      <x:c r="C561" s="15" t="str">
        <x:v>PROD017</x:v>
      </x:c>
      <x:c r="D561" s="15" t="n">
        <x:v>6</x:v>
      </x:c>
      <x:c r="E561" s="15" t="n">
        <x:v>7311.62</x:v>
      </x:c>
      <x:c r="F561" s="15" t="n">
        <x:v>0</x:v>
      </x:c>
      <x:c r="G561" s="15" t="n">
        <x:v>43869.72</x:v>
      </x:c>
      <x:c r="H561" s="15" t="n">
        <x:v>43869.72</x:v>
      </x:c>
      <x:c r="I561" s="15" t="n">
        <x:v>31548</x:v>
      </x:c>
      <x:c r="J561" s="15" t="n">
        <x:v>12321.72</x:v>
      </x:c>
      <x:c r="K561" t="str">
        <x:f>XLOOKUP(B561,Orders!A:A,Orders!E:E,"")</x:f>
        <x:v>South</x:v>
      </x:c>
      <x:c r="L561" t="n">
        <x:f>XLOOKUP(B561,Orders!A:A,Orders!B:B,"")</x:f>
        <x:v>46006</x:v>
      </x:c>
      <x:c r="M561" t="str">
        <x:f>XLOOKUP(C561,Products!A:A,Products!C:C,"")</x:f>
        <x:v>Accessories</x:v>
      </x:c>
    </x:row>
    <x:row r="562">
      <x:c r="A562" s="15" t="str">
        <x:v>ITEM00239_2</x:v>
      </x:c>
      <x:c r="B562" s="15" t="str">
        <x:v>ORD00239</x:v>
      </x:c>
      <x:c r="C562" s="15" t="str">
        <x:v>PROD040</x:v>
      </x:c>
      <x:c r="D562" s="15" t="n">
        <x:v>1</x:v>
      </x:c>
      <x:c r="E562" s="15" t="n">
        <x:v>8561.07</x:v>
      </x:c>
      <x:c r="F562" s="15" t="n">
        <x:v>0.1</x:v>
      </x:c>
      <x:c r="G562" s="15" t="n">
        <x:v>8561.07</x:v>
      </x:c>
      <x:c r="H562" s="15" t="n">
        <x:v>7704.96</x:v>
      </x:c>
      <x:c r="I562" s="15" t="n">
        <x:v>6841</x:v>
      </x:c>
      <x:c r="J562" s="15" t="n">
        <x:v>863.96</x:v>
      </x:c>
      <x:c r="K562" t="str">
        <x:f>XLOOKUP(B562,Orders!A:A,Orders!E:E,"")</x:f>
        <x:v>South</x:v>
      </x:c>
      <x:c r="L562" t="n">
        <x:f>XLOOKUP(B562,Orders!A:A,Orders!B:B,"")</x:f>
        <x:v>46006</x:v>
      </x:c>
      <x:c r="M562" t="str">
        <x:f>XLOOKUP(C562,Products!A:A,Products!C:C,"")</x:f>
        <x:v>Electronics</x:v>
      </x:c>
    </x:row>
    <x:row r="563">
      <x:c r="A563" s="15" t="str">
        <x:v>ITEM00239_3</x:v>
      </x:c>
      <x:c r="B563" s="15" t="str">
        <x:v>ORD00239</x:v>
      </x:c>
      <x:c r="C563" s="15" t="str">
        <x:v>PROD016</x:v>
      </x:c>
      <x:c r="D563" s="15" t="n">
        <x:v>3</x:v>
      </x:c>
      <x:c r="E563" s="15" t="n">
        <x:v>3884.33</x:v>
      </x:c>
      <x:c r="F563" s="15" t="n">
        <x:v>0</x:v>
      </x:c>
      <x:c r="G563" s="15" t="n">
        <x:v>11652.99</x:v>
      </x:c>
      <x:c r="H563" s="15" t="n">
        <x:v>11652.99</x:v>
      </x:c>
      <x:c r="I563" s="15" t="n">
        <x:v>9141</x:v>
      </x:c>
      <x:c r="J563" s="15" t="n">
        <x:v>2511.99</x:v>
      </x:c>
      <x:c r="K563" t="str">
        <x:f>XLOOKUP(B563,Orders!A:A,Orders!E:E,"")</x:f>
        <x:v>South</x:v>
      </x:c>
      <x:c r="L563" t="n">
        <x:f>XLOOKUP(B563,Orders!A:A,Orders!B:B,"")</x:f>
        <x:v>46006</x:v>
      </x:c>
      <x:c r="M563" t="str">
        <x:f>XLOOKUP(C563,Products!A:A,Products!C:C,"")</x:f>
        <x:v>Electronics</x:v>
      </x:c>
    </x:row>
    <x:row r="564">
      <x:c r="A564" s="15" t="str">
        <x:v>ITEM00239_4</x:v>
      </x:c>
      <x:c r="B564" s="15" t="str">
        <x:v>ORD00239</x:v>
      </x:c>
      <x:c r="C564" s="15" t="str">
        <x:v>PROD011</x:v>
      </x:c>
      <x:c r="D564" s="15" t="n">
        <x:v>6</x:v>
      </x:c>
      <x:c r="E564" s="15" t="n">
        <x:v>7135.27</x:v>
      </x:c>
      <x:c r="F564" s="15" t="n">
        <x:v>0</x:v>
      </x:c>
      <x:c r="G564" s="15" t="n">
        <x:v>42811.62</x:v>
      </x:c>
      <x:c r="H564" s="15" t="n">
        <x:v>42811.62</x:v>
      </x:c>
      <x:c r="I564" s="15" t="n">
        <x:v>31218</x:v>
      </x:c>
      <x:c r="J564" s="15" t="n">
        <x:v>11593.62</x:v>
      </x:c>
      <x:c r="K564" t="str">
        <x:f>XLOOKUP(B564,Orders!A:A,Orders!E:E,"")</x:f>
        <x:v>South</x:v>
      </x:c>
      <x:c r="L564" t="n">
        <x:f>XLOOKUP(B564,Orders!A:A,Orders!B:B,"")</x:f>
        <x:v>46006</x:v>
      </x:c>
      <x:c r="M564" t="str">
        <x:f>XLOOKUP(C564,Products!A:A,Products!C:C,"")</x:f>
        <x:v>Accessories</x:v>
      </x:c>
    </x:row>
    <x:row r="565">
      <x:c r="A565" s="15" t="str">
        <x:v>ITEM00240_1</x:v>
      </x:c>
      <x:c r="B565" s="15" t="str">
        <x:v>ORD00240</x:v>
      </x:c>
      <x:c r="C565" s="15" t="str">
        <x:v>PROD031</x:v>
      </x:c>
      <x:c r="D565" s="15" t="n">
        <x:v>1</x:v>
      </x:c>
      <x:c r="E565" s="15" t="n">
        <x:v>3371.81</x:v>
      </x:c>
      <x:c r="F565" s="15" t="n">
        <x:v>0</x:v>
      </x:c>
      <x:c r="G565" s="15" t="n">
        <x:v>3371.81</x:v>
      </x:c>
      <x:c r="H565" s="15" t="n">
        <x:v>3371.81</x:v>
      </x:c>
      <x:c r="I565" s="15" t="n">
        <x:v>2797</x:v>
      </x:c>
      <x:c r="J565" s="15" t="n">
        <x:v>574.81</x:v>
      </x:c>
      <x:c r="K565" t="str">
        <x:f>XLOOKUP(B565,Orders!A:A,Orders!E:E,"")</x:f>
        <x:v>West</x:v>
      </x:c>
      <x:c r="L565" t="n">
        <x:f>XLOOKUP(B565,Orders!A:A,Orders!B:B,"")</x:f>
        <x:v>45669</x:v>
      </x:c>
      <x:c r="M565" t="str">
        <x:f>XLOOKUP(C565,Products!A:A,Products!C:C,"")</x:f>
        <x:v>Furniture</x:v>
      </x:c>
    </x:row>
    <x:row r="566">
      <x:c r="A566" s="15" t="str">
        <x:v>ITEM00240_2</x:v>
      </x:c>
      <x:c r="B566" s="15" t="str">
        <x:v>ORD00240</x:v>
      </x:c>
      <x:c r="C566" s="15" t="str">
        <x:v>PROD020</x:v>
      </x:c>
      <x:c r="D566" s="15" t="n">
        <x:v>1</x:v>
      </x:c>
      <x:c r="E566" s="15" t="n">
        <x:v>6564.04</x:v>
      </x:c>
      <x:c r="F566" s="15" t="n">
        <x:v>0</x:v>
      </x:c>
      <x:c r="G566" s="15" t="n">
        <x:v>6564.04</x:v>
      </x:c>
      <x:c r="H566" s="15" t="n">
        <x:v>6564.04</x:v>
      </x:c>
      <x:c r="I566" s="15" t="n">
        <x:v>4585</x:v>
      </x:c>
      <x:c r="J566" s="15" t="n">
        <x:v>1979.04</x:v>
      </x:c>
      <x:c r="K566" t="str">
        <x:f>XLOOKUP(B566,Orders!A:A,Orders!E:E,"")</x:f>
        <x:v>West</x:v>
      </x:c>
      <x:c r="L566" t="n">
        <x:f>XLOOKUP(B566,Orders!A:A,Orders!B:B,"")</x:f>
        <x:v>45669</x:v>
      </x:c>
      <x:c r="M566" t="str">
        <x:f>XLOOKUP(C566,Products!A:A,Products!C:C,"")</x:f>
        <x:v>Accessories</x:v>
      </x:c>
    </x:row>
    <x:row r="567">
      <x:c r="A567" s="15" t="str">
        <x:v>ITEM00240_3</x:v>
      </x:c>
      <x:c r="B567" s="15" t="str">
        <x:v>ORD00240</x:v>
      </x:c>
      <x:c r="C567" s="15" t="str">
        <x:v>PROD008</x:v>
      </x:c>
      <x:c r="D567" s="15" t="n">
        <x:v>1</x:v>
      </x:c>
      <x:c r="E567" s="15" t="n">
        <x:v>8534.48</x:v>
      </x:c>
      <x:c r="F567" s="15" t="n">
        <x:v>0</x:v>
      </x:c>
      <x:c r="G567" s="15" t="n">
        <x:v>8534.48</x:v>
      </x:c>
      <x:c r="H567" s="15" t="n">
        <x:v>8534.48</x:v>
      </x:c>
      <x:c r="I567" s="15" t="n">
        <x:v>6197</x:v>
      </x:c>
      <x:c r="J567" s="15" t="n">
        <x:v>2337.48</x:v>
      </x:c>
      <x:c r="K567" t="str">
        <x:f>XLOOKUP(B567,Orders!A:A,Orders!E:E,"")</x:f>
        <x:v>West</x:v>
      </x:c>
      <x:c r="L567" t="n">
        <x:f>XLOOKUP(B567,Orders!A:A,Orders!B:B,"")</x:f>
        <x:v>45669</x:v>
      </x:c>
      <x:c r="M567" t="str">
        <x:f>XLOOKUP(C567,Products!A:A,Products!C:C,"")</x:f>
        <x:v>Office Supplies</x:v>
      </x:c>
    </x:row>
    <x:row r="568">
      <x:c r="A568" s="15" t="str">
        <x:v>ITEM00241_1</x:v>
      </x:c>
      <x:c r="B568" s="15" t="str">
        <x:v>ORD00241</x:v>
      </x:c>
      <x:c r="C568" s="15" t="str">
        <x:v>PROD036</x:v>
      </x:c>
      <x:c r="D568" s="15" t="n">
        <x:v>8</x:v>
      </x:c>
      <x:c r="E568" s="15" t="n">
        <x:v>7158.64</x:v>
      </x:c>
      <x:c r="F568" s="15" t="n">
        <x:v>0.05</x:v>
      </x:c>
      <x:c r="G568" s="15" t="n">
        <x:v>57269.12</x:v>
      </x:c>
      <x:c r="H568" s="15" t="n">
        <x:v>54405.66</x:v>
      </x:c>
      <x:c r="I568" s="15" t="n">
        <x:v>41368</x:v>
      </x:c>
      <x:c r="J568" s="15" t="n">
        <x:v>13037.66</x:v>
      </x:c>
      <x:c r="K568" t="str">
        <x:f>XLOOKUP(B568,Orders!A:A,Orders!E:E,"")</x:f>
        <x:v>West</x:v>
      </x:c>
      <x:c r="L568" t="n">
        <x:f>XLOOKUP(B568,Orders!A:A,Orders!B:B,"")</x:f>
        <x:v>45920</x:v>
      </x:c>
      <x:c r="M568" t="str">
        <x:f>XLOOKUP(C568,Products!A:A,Products!C:C,"")</x:f>
        <x:v>Accessories</x:v>
      </x:c>
    </x:row>
    <x:row r="569">
      <x:c r="A569" s="15" t="str">
        <x:v>ITEM00241_2</x:v>
      </x:c>
      <x:c r="B569" s="15" t="str">
        <x:v>ORD00241</x:v>
      </x:c>
      <x:c r="C569" s="15" t="str">
        <x:v>PROD005</x:v>
      </x:c>
      <x:c r="D569" s="15" t="n">
        <x:v>1</x:v>
      </x:c>
      <x:c r="E569" s="15" t="n">
        <x:v>6453.62</x:v>
      </x:c>
      <x:c r="F569" s="15" t="n">
        <x:v>0.15</x:v>
      </x:c>
      <x:c r="G569" s="15" t="n">
        <x:v>6453.62</x:v>
      </x:c>
      <x:c r="H569" s="15" t="n">
        <x:v>5485.58</x:v>
      </x:c>
      <x:c r="I569" s="15" t="n">
        <x:v>4848</x:v>
      </x:c>
      <x:c r="J569" s="15" t="n">
        <x:v>637.58</x:v>
      </x:c>
      <x:c r="K569" t="str">
        <x:f>XLOOKUP(B569,Orders!A:A,Orders!E:E,"")</x:f>
        <x:v>West</x:v>
      </x:c>
      <x:c r="L569" t="n">
        <x:f>XLOOKUP(B569,Orders!A:A,Orders!B:B,"")</x:f>
        <x:v>45920</x:v>
      </x:c>
      <x:c r="M569" t="str">
        <x:f>XLOOKUP(C569,Products!A:A,Products!C:C,"")</x:f>
        <x:v>Office Supplies</x:v>
      </x:c>
    </x:row>
    <x:row r="570">
      <x:c r="A570" s="15" t="str">
        <x:v>ITEM00242_1</x:v>
      </x:c>
      <x:c r="B570" s="15" t="str">
        <x:v>ORD00242</x:v>
      </x:c>
      <x:c r="C570" s="15" t="str">
        <x:v>PROD023</x:v>
      </x:c>
      <x:c r="D570" s="15" t="n">
        <x:v>1</x:v>
      </x:c>
      <x:c r="E570" s="15" t="n">
        <x:v>5153.56</x:v>
      </x:c>
      <x:c r="F570" s="15" t="n">
        <x:v>0.15</x:v>
      </x:c>
      <x:c r="G570" s="15" t="n">
        <x:v>5153.56</x:v>
      </x:c>
      <x:c r="H570" s="15" t="n">
        <x:v>4380.53</x:v>
      </x:c>
      <x:c r="I570" s="15" t="n">
        <x:v>3958</x:v>
      </x:c>
      <x:c r="J570" s="15" t="n">
        <x:v>422.53</x:v>
      </x:c>
      <x:c r="K570" t="str">
        <x:f>XLOOKUP(B570,Orders!A:A,Orders!E:E,"")</x:f>
        <x:v>South</x:v>
      </x:c>
      <x:c r="L570" t="n">
        <x:f>XLOOKUP(B570,Orders!A:A,Orders!B:B,"")</x:f>
        <x:v>45987</x:v>
      </x:c>
      <x:c r="M570" t="str">
        <x:f>XLOOKUP(C570,Products!A:A,Products!C:C,"")</x:f>
        <x:v>Electronics</x:v>
      </x:c>
    </x:row>
    <x:row r="571">
      <x:c r="A571" s="15" t="str">
        <x:v>ITEM00242_2</x:v>
      </x:c>
      <x:c r="B571" s="15" t="str">
        <x:v>ORD00242</x:v>
      </x:c>
      <x:c r="C571" s="15" t="str">
        <x:v>PROD011</x:v>
      </x:c>
      <x:c r="D571" s="15" t="n">
        <x:v>5</x:v>
      </x:c>
      <x:c r="E571" s="15" t="n">
        <x:v>7135.27</x:v>
      </x:c>
      <x:c r="F571" s="15" t="n">
        <x:v>0.15</x:v>
      </x:c>
      <x:c r="G571" s="15" t="n">
        <x:v>35676.35</x:v>
      </x:c>
      <x:c r="H571" s="15" t="n">
        <x:v>30324.9</x:v>
      </x:c>
      <x:c r="I571" s="15" t="n">
        <x:v>26015</x:v>
      </x:c>
      <x:c r="J571" s="15" t="n">
        <x:v>4309.9</x:v>
      </x:c>
      <x:c r="K571" t="str">
        <x:f>XLOOKUP(B571,Orders!A:A,Orders!E:E,"")</x:f>
        <x:v>South</x:v>
      </x:c>
      <x:c r="L571" t="n">
        <x:f>XLOOKUP(B571,Orders!A:A,Orders!B:B,"")</x:f>
        <x:v>45987</x:v>
      </x:c>
      <x:c r="M571" t="str">
        <x:f>XLOOKUP(C571,Products!A:A,Products!C:C,"")</x:f>
        <x:v>Accessories</x:v>
      </x:c>
    </x:row>
    <x:row r="572">
      <x:c r="A572" s="15" t="str">
        <x:v>ITEM00242_3</x:v>
      </x:c>
      <x:c r="B572" s="15" t="str">
        <x:v>ORD00242</x:v>
      </x:c>
      <x:c r="C572" s="15" t="str">
        <x:v>PROD023</x:v>
      </x:c>
      <x:c r="D572" s="15" t="n">
        <x:v>6</x:v>
      </x:c>
      <x:c r="E572" s="15" t="n">
        <x:v>5153.56</x:v>
      </x:c>
      <x:c r="F572" s="15" t="n">
        <x:v>0</x:v>
      </x:c>
      <x:c r="G572" s="15" t="n">
        <x:v>30921.36</x:v>
      </x:c>
      <x:c r="H572" s="15" t="n">
        <x:v>30921.36</x:v>
      </x:c>
      <x:c r="I572" s="15" t="n">
        <x:v>23748</x:v>
      </x:c>
      <x:c r="J572" s="15" t="n">
        <x:v>7173.36</x:v>
      </x:c>
      <x:c r="K572" t="str">
        <x:f>XLOOKUP(B572,Orders!A:A,Orders!E:E,"")</x:f>
        <x:v>South</x:v>
      </x:c>
      <x:c r="L572" t="n">
        <x:f>XLOOKUP(B572,Orders!A:A,Orders!B:B,"")</x:f>
        <x:v>45987</x:v>
      </x:c>
      <x:c r="M572" t="str">
        <x:f>XLOOKUP(C572,Products!A:A,Products!C:C,"")</x:f>
        <x:v>Electronics</x:v>
      </x:c>
    </x:row>
    <x:row r="573">
      <x:c r="A573" s="15" t="str">
        <x:v>ITEM00243_1</x:v>
      </x:c>
      <x:c r="B573" s="15" t="str">
        <x:v>ORD00243</x:v>
      </x:c>
      <x:c r="C573" s="15" t="str">
        <x:v>PROD016</x:v>
      </x:c>
      <x:c r="D573" s="15" t="n">
        <x:v>1</x:v>
      </x:c>
      <x:c r="E573" s="15" t="n">
        <x:v>3884.33</x:v>
      </x:c>
      <x:c r="F573" s="15" t="n">
        <x:v>0</x:v>
      </x:c>
      <x:c r="G573" s="15" t="n">
        <x:v>3884.33</x:v>
      </x:c>
      <x:c r="H573" s="15" t="n">
        <x:v>3884.33</x:v>
      </x:c>
      <x:c r="I573" s="15" t="n">
        <x:v>3047</x:v>
      </x:c>
      <x:c r="J573" s="15" t="n">
        <x:v>837.33</x:v>
      </x:c>
      <x:c r="K573" t="str">
        <x:f>XLOOKUP(B573,Orders!A:A,Orders!E:E,"")</x:f>
        <x:v>North</x:v>
      </x:c>
      <x:c r="L573" t="n">
        <x:f>XLOOKUP(B573,Orders!A:A,Orders!B:B,"")</x:f>
        <x:v>45730</x:v>
      </x:c>
      <x:c r="M573" t="str">
        <x:f>XLOOKUP(C573,Products!A:A,Products!C:C,"")</x:f>
        <x:v>Electronics</x:v>
      </x:c>
    </x:row>
    <x:row r="574">
      <x:c r="A574" s="15" t="str">
        <x:v>ITEM00244_1</x:v>
      </x:c>
      <x:c r="B574" s="15" t="str">
        <x:v>ORD00244</x:v>
      </x:c>
      <x:c r="C574" s="15" t="str">
        <x:v>PROD002</x:v>
      </x:c>
      <x:c r="D574" s="15" t="n">
        <x:v>5</x:v>
      </x:c>
      <x:c r="E574" s="15" t="n">
        <x:v>4655.92</x:v>
      </x:c>
      <x:c r="F574" s="15" t="n">
        <x:v>0</x:v>
      </x:c>
      <x:c r="G574" s="15" t="n">
        <x:v>23279.6</x:v>
      </x:c>
      <x:c r="H574" s="15" t="n">
        <x:v>23279.6</x:v>
      </x:c>
      <x:c r="I574" s="15" t="n">
        <x:v>15665</x:v>
      </x:c>
      <x:c r="J574" s="15" t="n">
        <x:v>7614.6</x:v>
      </x:c>
      <x:c r="K574" t="str">
        <x:f>XLOOKUP(B574,Orders!A:A,Orders!E:E,"")</x:f>
        <x:v>West</x:v>
      </x:c>
      <x:c r="L574" t="n">
        <x:f>XLOOKUP(B574,Orders!A:A,Orders!B:B,"")</x:f>
        <x:v>46179</x:v>
      </x:c>
      <x:c r="M574" t="str">
        <x:f>XLOOKUP(C574,Products!A:A,Products!C:C,"")</x:f>
        <x:v>Accessories</x:v>
      </x:c>
    </x:row>
    <x:row r="575">
      <x:c r="A575" s="15" t="str">
        <x:v>ITEM00244_2</x:v>
      </x:c>
      <x:c r="B575" s="15" t="str">
        <x:v>ORD00244</x:v>
      </x:c>
      <x:c r="C575" s="15" t="str">
        <x:v>PROD025</x:v>
      </x:c>
      <x:c r="D575" s="15" t="n">
        <x:v>5</x:v>
      </x:c>
      <x:c r="E575" s="15" t="n">
        <x:v>1148.84</x:v>
      </x:c>
      <x:c r="F575" s="15" t="n">
        <x:v>0.05</x:v>
      </x:c>
      <x:c r="G575" s="15" t="n">
        <x:v>5744.2</x:v>
      </x:c>
      <x:c r="H575" s="15" t="n">
        <x:v>5456.99</x:v>
      </x:c>
      <x:c r="I575" s="15" t="n">
        <x:v>4390</x:v>
      </x:c>
      <x:c r="J575" s="15" t="n">
        <x:v>1066.99</x:v>
      </x:c>
      <x:c r="K575" t="str">
        <x:f>XLOOKUP(B575,Orders!A:A,Orders!E:E,"")</x:f>
        <x:v>West</x:v>
      </x:c>
      <x:c r="L575" t="n">
        <x:f>XLOOKUP(B575,Orders!A:A,Orders!B:B,"")</x:f>
        <x:v>46179</x:v>
      </x:c>
      <x:c r="M575" t="str">
        <x:f>XLOOKUP(C575,Products!A:A,Products!C:C,"")</x:f>
        <x:v>Furniture</x:v>
      </x:c>
    </x:row>
    <x:row r="576">
      <x:c r="A576" s="15" t="str">
        <x:v>ITEM00244_3</x:v>
      </x:c>
      <x:c r="B576" s="15" t="str">
        <x:v>ORD00244</x:v>
      </x:c>
      <x:c r="C576" s="15" t="str">
        <x:v>PROD013</x:v>
      </x:c>
      <x:c r="D576" s="15" t="n">
        <x:v>1</x:v>
      </x:c>
      <x:c r="E576" s="15" t="n">
        <x:v>7614.02</x:v>
      </x:c>
      <x:c r="F576" s="15" t="n">
        <x:v>0</x:v>
      </x:c>
      <x:c r="G576" s="15" t="n">
        <x:v>7614.02</x:v>
      </x:c>
      <x:c r="H576" s="15" t="n">
        <x:v>7614.02</x:v>
      </x:c>
      <x:c r="I576" s="15" t="n">
        <x:v>6077</x:v>
      </x:c>
      <x:c r="J576" s="15" t="n">
        <x:v>1537.02</x:v>
      </x:c>
      <x:c r="K576" t="str">
        <x:f>XLOOKUP(B576,Orders!A:A,Orders!E:E,"")</x:f>
        <x:v>West</x:v>
      </x:c>
      <x:c r="L576" t="n">
        <x:f>XLOOKUP(B576,Orders!A:A,Orders!B:B,"")</x:f>
        <x:v>46179</x:v>
      </x:c>
      <x:c r="M576" t="str">
        <x:f>XLOOKUP(C576,Products!A:A,Products!C:C,"")</x:f>
        <x:v>Furniture</x:v>
      </x:c>
    </x:row>
    <x:row r="577">
      <x:c r="A577" s="15" t="str">
        <x:v>ITEM00244_4</x:v>
      </x:c>
      <x:c r="B577" s="15" t="str">
        <x:v>ORD00244</x:v>
      </x:c>
      <x:c r="C577" s="15" t="str">
        <x:v>PROD032</x:v>
      </x:c>
      <x:c r="D577" s="15" t="n">
        <x:v>2</x:v>
      </x:c>
      <x:c r="E577" s="15" t="n">
        <x:v>6307.06</x:v>
      </x:c>
      <x:c r="F577" s="15" t="n">
        <x:v>0</x:v>
      </x:c>
      <x:c r="G577" s="15" t="n">
        <x:v>12614.12</x:v>
      </x:c>
      <x:c r="H577" s="15" t="n">
        <x:v>12614.12</x:v>
      </x:c>
      <x:c r="I577" s="15" t="n">
        <x:v>10154</x:v>
      </x:c>
      <x:c r="J577" s="15" t="n">
        <x:v>2460.12</x:v>
      </x:c>
      <x:c r="K577" t="str">
        <x:f>XLOOKUP(B577,Orders!A:A,Orders!E:E,"")</x:f>
        <x:v>West</x:v>
      </x:c>
      <x:c r="L577" t="n">
        <x:f>XLOOKUP(B577,Orders!A:A,Orders!B:B,"")</x:f>
        <x:v>46179</x:v>
      </x:c>
      <x:c r="M577" t="str">
        <x:f>XLOOKUP(C577,Products!A:A,Products!C:C,"")</x:f>
        <x:v>Electronics</x:v>
      </x:c>
    </x:row>
    <x:row r="578">
      <x:c r="A578" s="15" t="str">
        <x:v>ITEM00245_1</x:v>
      </x:c>
      <x:c r="B578" s="15" t="str">
        <x:v>ORD00245</x:v>
      </x:c>
      <x:c r="C578" s="15" t="str">
        <x:v>PROD004</x:v>
      </x:c>
      <x:c r="D578" s="15" t="n">
        <x:v>1</x:v>
      </x:c>
      <x:c r="E578" s="15" t="n">
        <x:v>5435.39</x:v>
      </x:c>
      <x:c r="F578" s="15" t="n">
        <x:v>0.05</x:v>
      </x:c>
      <x:c r="G578" s="15" t="n">
        <x:v>5435.39</x:v>
      </x:c>
      <x:c r="H578" s="15" t="n">
        <x:v>5163.62</x:v>
      </x:c>
      <x:c r="I578" s="15" t="n">
        <x:v>4141</x:v>
      </x:c>
      <x:c r="J578" s="15" t="n">
        <x:v>1022.62</x:v>
      </x:c>
      <x:c r="K578" t="str">
        <x:f>XLOOKUP(B578,Orders!A:A,Orders!E:E,"")</x:f>
        <x:v>North</x:v>
      </x:c>
      <x:c r="L578" t="n">
        <x:f>XLOOKUP(B578,Orders!A:A,Orders!B:B,"")</x:f>
        <x:v>45810</x:v>
      </x:c>
      <x:c r="M578" t="str">
        <x:f>XLOOKUP(C578,Products!A:A,Products!C:C,"")</x:f>
        <x:v>Office Supplies</x:v>
      </x:c>
    </x:row>
    <x:row r="579">
      <x:c r="A579" s="15" t="str">
        <x:v>ITEM00245_2</x:v>
      </x:c>
      <x:c r="B579" s="15" t="str">
        <x:v>ORD00245</x:v>
      </x:c>
      <x:c r="C579" s="15" t="str">
        <x:v>PROD022</x:v>
      </x:c>
      <x:c r="D579" s="15" t="n">
        <x:v>2</x:v>
      </x:c>
      <x:c r="E579" s="15" t="n">
        <x:v>7775.36</x:v>
      </x:c>
      <x:c r="F579" s="15" t="n">
        <x:v>0.1</x:v>
      </x:c>
      <x:c r="G579" s="15" t="n">
        <x:v>15550.72</x:v>
      </x:c>
      <x:c r="H579" s="15" t="n">
        <x:v>13995.65</x:v>
      </x:c>
      <x:c r="I579" s="15" t="n">
        <x:v>12662</x:v>
      </x:c>
      <x:c r="J579" s="15" t="n">
        <x:v>1333.65</x:v>
      </x:c>
      <x:c r="K579" t="str">
        <x:f>XLOOKUP(B579,Orders!A:A,Orders!E:E,"")</x:f>
        <x:v>North</x:v>
      </x:c>
      <x:c r="L579" t="n">
        <x:f>XLOOKUP(B579,Orders!A:A,Orders!B:B,"")</x:f>
        <x:v>45810</x:v>
      </x:c>
      <x:c r="M579" t="str">
        <x:f>XLOOKUP(C579,Products!A:A,Products!C:C,"")</x:f>
        <x:v>Furniture</x:v>
      </x:c>
    </x:row>
    <x:row r="580">
      <x:c r="A580" s="15" t="str">
        <x:v>ITEM00245_3</x:v>
      </x:c>
      <x:c r="B580" s="15" t="str">
        <x:v>ORD00245</x:v>
      </x:c>
      <x:c r="C580" s="15" t="str">
        <x:v>PROD034</x:v>
      </x:c>
      <x:c r="D580" s="15" t="n">
        <x:v>6</x:v>
      </x:c>
      <x:c r="E580" s="15" t="n">
        <x:v>5451.76</x:v>
      </x:c>
      <x:c r="F580" s="15" t="n">
        <x:v>0</x:v>
      </x:c>
      <x:c r="G580" s="15" t="n">
        <x:v>32710.56</x:v>
      </x:c>
      <x:c r="H580" s="15" t="n">
        <x:v>32710.56</x:v>
      </x:c>
      <x:c r="I580" s="15" t="n">
        <x:v>22656</x:v>
      </x:c>
      <x:c r="J580" s="15" t="n">
        <x:v>10054.56</x:v>
      </x:c>
      <x:c r="K580" t="str">
        <x:f>XLOOKUP(B580,Orders!A:A,Orders!E:E,"")</x:f>
        <x:v>North</x:v>
      </x:c>
      <x:c r="L580" t="n">
        <x:f>XLOOKUP(B580,Orders!A:A,Orders!B:B,"")</x:f>
        <x:v>45810</x:v>
      </x:c>
      <x:c r="M580" t="str">
        <x:f>XLOOKUP(C580,Products!A:A,Products!C:C,"")</x:f>
        <x:v>Accessories</x:v>
      </x:c>
    </x:row>
    <x:row r="581">
      <x:c r="A581" s="15" t="str">
        <x:v>ITEM00245_4</x:v>
      </x:c>
      <x:c r="B581" s="15" t="str">
        <x:v>ORD00245</x:v>
      </x:c>
      <x:c r="C581" s="15" t="str">
        <x:v>PROD010</x:v>
      </x:c>
      <x:c r="D581" s="15" t="n">
        <x:v>7</x:v>
      </x:c>
      <x:c r="E581" s="15" t="n">
        <x:v>8670.63</x:v>
      </x:c>
      <x:c r="F581" s="15" t="n">
        <x:v>0</x:v>
      </x:c>
      <x:c r="G581" s="15" t="n">
        <x:v>60694.41</x:v>
      </x:c>
      <x:c r="H581" s="15" t="n">
        <x:v>60694.41</x:v>
      </x:c>
      <x:c r="I581" s="15" t="n">
        <x:v>40971</x:v>
      </x:c>
      <x:c r="J581" s="15" t="n">
        <x:v>19723.41</x:v>
      </x:c>
      <x:c r="K581" t="str">
        <x:f>XLOOKUP(B581,Orders!A:A,Orders!E:E,"")</x:f>
        <x:v>North</x:v>
      </x:c>
      <x:c r="L581" t="n">
        <x:f>XLOOKUP(B581,Orders!A:A,Orders!B:B,"")</x:f>
        <x:v>45810</x:v>
      </x:c>
      <x:c r="M581" t="str">
        <x:f>XLOOKUP(C581,Products!A:A,Products!C:C,"")</x:f>
        <x:v>Accessories</x:v>
      </x:c>
    </x:row>
    <x:row r="582">
      <x:c r="A582" s="15" t="str">
        <x:v>ITEM00246_1</x:v>
      </x:c>
      <x:c r="B582" s="15" t="str">
        <x:v>ORD00246</x:v>
      </x:c>
      <x:c r="C582" s="15" t="str">
        <x:v>PROD013</x:v>
      </x:c>
      <x:c r="D582" s="15" t="n">
        <x:v>3</x:v>
      </x:c>
      <x:c r="E582" s="15" t="n">
        <x:v>7614.02</x:v>
      </x:c>
      <x:c r="F582" s="15" t="n">
        <x:v>0</x:v>
      </x:c>
      <x:c r="G582" s="15" t="n">
        <x:v>22842.06</x:v>
      </x:c>
      <x:c r="H582" s="15" t="n">
        <x:v>22842.06</x:v>
      </x:c>
      <x:c r="I582" s="15" t="n">
        <x:v>18231</x:v>
      </x:c>
      <x:c r="J582" s="15" t="n">
        <x:v>4611.06</x:v>
      </x:c>
      <x:c r="K582" t="str">
        <x:f>XLOOKUP(B582,Orders!A:A,Orders!E:E,"")</x:f>
        <x:v>West</x:v>
      </x:c>
      <x:c r="L582" t="n">
        <x:f>XLOOKUP(B582,Orders!A:A,Orders!B:B,"")</x:f>
        <x:v>45916</x:v>
      </x:c>
      <x:c r="M582" t="str">
        <x:f>XLOOKUP(C582,Products!A:A,Products!C:C,"")</x:f>
        <x:v>Furniture</x:v>
      </x:c>
    </x:row>
    <x:row r="583">
      <x:c r="A583" s="15" t="str">
        <x:v>ITEM00246_2</x:v>
      </x:c>
      <x:c r="B583" s="15" t="str">
        <x:v>ORD00246</x:v>
      </x:c>
      <x:c r="C583" s="15" t="str">
        <x:v>PROD031</x:v>
      </x:c>
      <x:c r="D583" s="15" t="n">
        <x:v>2</x:v>
      </x:c>
      <x:c r="E583" s="15" t="n">
        <x:v>3371.81</x:v>
      </x:c>
      <x:c r="F583" s="15" t="n">
        <x:v>0.15</x:v>
      </x:c>
      <x:c r="G583" s="15" t="n">
        <x:v>6743.62</x:v>
      </x:c>
      <x:c r="H583" s="15" t="n">
        <x:v>5732.08</x:v>
      </x:c>
      <x:c r="I583" s="15" t="n">
        <x:v>5594</x:v>
      </x:c>
      <x:c r="J583" s="15" t="n">
        <x:v>138.08</x:v>
      </x:c>
      <x:c r="K583" t="str">
        <x:f>XLOOKUP(B583,Orders!A:A,Orders!E:E,"")</x:f>
        <x:v>West</x:v>
      </x:c>
      <x:c r="L583" t="n">
        <x:f>XLOOKUP(B583,Orders!A:A,Orders!B:B,"")</x:f>
        <x:v>45916</x:v>
      </x:c>
      <x:c r="M583" t="str">
        <x:f>XLOOKUP(C583,Products!A:A,Products!C:C,"")</x:f>
        <x:v>Furniture</x:v>
      </x:c>
    </x:row>
    <x:row r="584">
      <x:c r="A584" s="15" t="str">
        <x:v>ITEM00246_3</x:v>
      </x:c>
      <x:c r="B584" s="15" t="str">
        <x:v>ORD00246</x:v>
      </x:c>
      <x:c r="C584" s="15" t="str">
        <x:v>PROD039</x:v>
      </x:c>
      <x:c r="D584" s="15" t="n">
        <x:v>5</x:v>
      </x:c>
      <x:c r="E584" s="15" t="n">
        <x:v>5945.62</x:v>
      </x:c>
      <x:c r="F584" s="15" t="n">
        <x:v>0.1</x:v>
      </x:c>
      <x:c r="G584" s="15" t="n">
        <x:v>29728.1</x:v>
      </x:c>
      <x:c r="H584" s="15" t="n">
        <x:v>26755.29</x:v>
      </x:c>
      <x:c r="I584" s="15" t="n">
        <x:v>22865</x:v>
      </x:c>
      <x:c r="J584" s="15" t="n">
        <x:v>3890.29</x:v>
      </x:c>
      <x:c r="K584" t="str">
        <x:f>XLOOKUP(B584,Orders!A:A,Orders!E:E,"")</x:f>
        <x:v>West</x:v>
      </x:c>
      <x:c r="L584" t="n">
        <x:f>XLOOKUP(B584,Orders!A:A,Orders!B:B,"")</x:f>
        <x:v>45916</x:v>
      </x:c>
      <x:c r="M584" t="str">
        <x:f>XLOOKUP(C584,Products!A:A,Products!C:C,"")</x:f>
        <x:v>Office Supplies</x:v>
      </x:c>
    </x:row>
    <x:row r="585">
      <x:c r="A585" s="15" t="str">
        <x:v>ITEM00247_1</x:v>
      </x:c>
      <x:c r="B585" s="15" t="str">
        <x:v>ORD00247</x:v>
      </x:c>
      <x:c r="C585" s="15" t="str">
        <x:v>PROD013</x:v>
      </x:c>
      <x:c r="D585" s="15" t="n">
        <x:v>3</x:v>
      </x:c>
      <x:c r="E585" s="15" t="n">
        <x:v>7614.02</x:v>
      </x:c>
      <x:c r="F585" s="15" t="n">
        <x:v>0.1</x:v>
      </x:c>
      <x:c r="G585" s="15" t="n">
        <x:v>22842.06</x:v>
      </x:c>
      <x:c r="H585" s="15" t="n">
        <x:v>20557.85</x:v>
      </x:c>
      <x:c r="I585" s="15" t="n">
        <x:v>18231</x:v>
      </x:c>
      <x:c r="J585" s="15" t="n">
        <x:v>2326.85</x:v>
      </x:c>
      <x:c r="K585" t="str">
        <x:f>XLOOKUP(B585,Orders!A:A,Orders!E:E,"")</x:f>
        <x:v>South</x:v>
      </x:c>
      <x:c r="L585" t="n">
        <x:f>XLOOKUP(B585,Orders!A:A,Orders!B:B,"")</x:f>
        <x:v>45994</x:v>
      </x:c>
      <x:c r="M585" t="str">
        <x:f>XLOOKUP(C585,Products!A:A,Products!C:C,"")</x:f>
        <x:v>Furniture</x:v>
      </x:c>
    </x:row>
    <x:row r="586">
      <x:c r="A586" s="15" t="str">
        <x:v>ITEM00248_1</x:v>
      </x:c>
      <x:c r="B586" s="15" t="str">
        <x:v>ORD00248</x:v>
      </x:c>
      <x:c r="C586" s="15" t="str">
        <x:v>PROD038</x:v>
      </x:c>
      <x:c r="D586" s="15" t="n">
        <x:v>4</x:v>
      </x:c>
      <x:c r="E586" s="15" t="n">
        <x:v>5219.7</x:v>
      </x:c>
      <x:c r="F586" s="15" t="n">
        <x:v>0</x:v>
      </x:c>
      <x:c r="G586" s="15" t="n">
        <x:v>20878.8</x:v>
      </x:c>
      <x:c r="H586" s="15" t="n">
        <x:v>20878.8</x:v>
      </x:c>
      <x:c r="I586" s="15" t="n">
        <x:v>15744</x:v>
      </x:c>
      <x:c r="J586" s="15" t="n">
        <x:v>5134.8</x:v>
      </x:c>
      <x:c r="K586" t="str">
        <x:f>XLOOKUP(B586,Orders!A:A,Orders!E:E,"")</x:f>
        <x:v>North</x:v>
      </x:c>
      <x:c r="L586" t="n">
        <x:f>XLOOKUP(B586,Orders!A:A,Orders!B:B,"")</x:f>
        <x:v>45930</x:v>
      </x:c>
      <x:c r="M586" t="str">
        <x:f>XLOOKUP(C586,Products!A:A,Products!C:C,"")</x:f>
        <x:v>Office Supplies</x:v>
      </x:c>
    </x:row>
    <x:row r="587">
      <x:c r="A587" s="15" t="str">
        <x:v>ITEM00248_2</x:v>
      </x:c>
      <x:c r="B587" s="15" t="str">
        <x:v>ORD00248</x:v>
      </x:c>
      <x:c r="C587" s="15" t="str">
        <x:v>PROD035</x:v>
      </x:c>
      <x:c r="D587" s="15" t="n">
        <x:v>1</x:v>
      </x:c>
      <x:c r="E587" s="15" t="n">
        <x:v>3972.26</x:v>
      </x:c>
      <x:c r="F587" s="15" t="n">
        <x:v>0.05</x:v>
      </x:c>
      <x:c r="G587" s="15" t="n">
        <x:v>3972.26</x:v>
      </x:c>
      <x:c r="H587" s="15" t="n">
        <x:v>3773.65</x:v>
      </x:c>
      <x:c r="I587" s="15" t="n">
        <x:v>3187</x:v>
      </x:c>
      <x:c r="J587" s="15" t="n">
        <x:v>586.65</x:v>
      </x:c>
      <x:c r="K587" t="str">
        <x:f>XLOOKUP(B587,Orders!A:A,Orders!E:E,"")</x:f>
        <x:v>North</x:v>
      </x:c>
      <x:c r="L587" t="n">
        <x:f>XLOOKUP(B587,Orders!A:A,Orders!B:B,"")</x:f>
        <x:v>45930</x:v>
      </x:c>
      <x:c r="M587" t="str">
        <x:f>XLOOKUP(C587,Products!A:A,Products!C:C,"")</x:f>
        <x:v>Electronics</x:v>
      </x:c>
    </x:row>
    <x:row r="588">
      <x:c r="A588" s="15" t="str">
        <x:v>ITEM00248_3</x:v>
      </x:c>
      <x:c r="B588" s="15" t="str">
        <x:v>ORD00248</x:v>
      </x:c>
      <x:c r="C588" s="15" t="str">
        <x:v>PROD019</x:v>
      </x:c>
      <x:c r="D588" s="15" t="n">
        <x:v>4</x:v>
      </x:c>
      <x:c r="E588" s="15" t="n">
        <x:v>5996.29</x:v>
      </x:c>
      <x:c r="F588" s="15" t="n">
        <x:v>0.1</x:v>
      </x:c>
      <x:c r="G588" s="15" t="n">
        <x:v>23985.16</x:v>
      </x:c>
      <x:c r="H588" s="15" t="n">
        <x:v>21586.64</x:v>
      </x:c>
      <x:c r="I588" s="15" t="n">
        <x:v>18040</x:v>
      </x:c>
      <x:c r="J588" s="15" t="n">
        <x:v>3546.64</x:v>
      </x:c>
      <x:c r="K588" t="str">
        <x:f>XLOOKUP(B588,Orders!A:A,Orders!E:E,"")</x:f>
        <x:v>North</x:v>
      </x:c>
      <x:c r="L588" t="n">
        <x:f>XLOOKUP(B588,Orders!A:A,Orders!B:B,"")</x:f>
        <x:v>45930</x:v>
      </x:c>
      <x:c r="M588" t="str">
        <x:f>XLOOKUP(C588,Products!A:A,Products!C:C,"")</x:f>
        <x:v>Electronics</x:v>
      </x:c>
    </x:row>
    <x:row r="589">
      <x:c r="A589" s="15" t="str">
        <x:v>ITEM00248_4</x:v>
      </x:c>
      <x:c r="B589" s="15" t="str">
        <x:v>ORD00248</x:v>
      </x:c>
      <x:c r="C589" s="15" t="str">
        <x:v>PROD001</x:v>
      </x:c>
      <x:c r="D589" s="15" t="n">
        <x:v>6</x:v>
      </x:c>
      <x:c r="E589" s="15" t="n">
        <x:v>8672.7</x:v>
      </x:c>
      <x:c r="F589" s="15" t="n">
        <x:v>0.1</x:v>
      </x:c>
      <x:c r="G589" s="15" t="n">
        <x:v>52036.2</x:v>
      </x:c>
      <x:c r="H589" s="15" t="n">
        <x:v>46832.58</x:v>
      </x:c>
      <x:c r="I589" s="15" t="n">
        <x:v>36978</x:v>
      </x:c>
      <x:c r="J589" s="15" t="n">
        <x:v>9854.58</x:v>
      </x:c>
      <x:c r="K589" t="str">
        <x:f>XLOOKUP(B589,Orders!A:A,Orders!E:E,"")</x:f>
        <x:v>North</x:v>
      </x:c>
      <x:c r="L589" t="n">
        <x:f>XLOOKUP(B589,Orders!A:A,Orders!B:B,"")</x:f>
        <x:v>45930</x:v>
      </x:c>
      <x:c r="M589" t="str">
        <x:f>XLOOKUP(C589,Products!A:A,Products!C:C,"")</x:f>
        <x:v>Office Supplies</x:v>
      </x:c>
    </x:row>
    <x:row r="590">
      <x:c r="A590" s="15" t="str">
        <x:v>ITEM00249_1</x:v>
      </x:c>
      <x:c r="B590" s="15" t="str">
        <x:v>ORD00249</x:v>
      </x:c>
      <x:c r="C590" s="15" t="str">
        <x:v>PROD025</x:v>
      </x:c>
      <x:c r="D590" s="15" t="n">
        <x:v>1</x:v>
      </x:c>
      <x:c r="E590" s="15" t="n">
        <x:v>1148.84</x:v>
      </x:c>
      <x:c r="F590" s="15" t="n">
        <x:v>0</x:v>
      </x:c>
      <x:c r="G590" s="15" t="n">
        <x:v>1148.84</x:v>
      </x:c>
      <x:c r="H590" s="15" t="n">
        <x:v>1148.84</x:v>
      </x:c>
      <x:c r="I590" s="15" t="n">
        <x:v>878</x:v>
      </x:c>
      <x:c r="J590" s="15" t="n">
        <x:v>270.84</x:v>
      </x:c>
      <x:c r="K590" t="str">
        <x:f>XLOOKUP(B590,Orders!A:A,Orders!E:E,"")</x:f>
        <x:v>North</x:v>
      </x:c>
      <x:c r="L590" t="n">
        <x:f>XLOOKUP(B590,Orders!A:A,Orders!B:B,"")</x:f>
        <x:v>45721</x:v>
      </x:c>
      <x:c r="M590" t="str">
        <x:f>XLOOKUP(C590,Products!A:A,Products!C:C,"")</x:f>
        <x:v>Furniture</x:v>
      </x:c>
    </x:row>
    <x:row r="591">
      <x:c r="A591" s="15" t="str">
        <x:v>ITEM00250_1</x:v>
      </x:c>
      <x:c r="B591" s="15" t="str">
        <x:v>ORD00250</x:v>
      </x:c>
      <x:c r="C591" s="15" t="str">
        <x:v>PROD027</x:v>
      </x:c>
      <x:c r="D591" s="15" t="n">
        <x:v>2</x:v>
      </x:c>
      <x:c r="E591" s="15" t="n">
        <x:v>6979.71</x:v>
      </x:c>
      <x:c r="F591" s="15" t="n">
        <x:v>0</x:v>
      </x:c>
      <x:c r="G591" s="15" t="n">
        <x:v>13959.42</x:v>
      </x:c>
      <x:c r="H591" s="15" t="n">
        <x:v>13959.42</x:v>
      </x:c>
      <x:c r="I591" s="15" t="n">
        <x:v>11274</x:v>
      </x:c>
      <x:c r="J591" s="15" t="n">
        <x:v>2685.42</x:v>
      </x:c>
      <x:c r="K591" t="str">
        <x:f>XLOOKUP(B591,Orders!A:A,Orders!E:E,"")</x:f>
        <x:v>West</x:v>
      </x:c>
      <x:c r="L591" t="n">
        <x:f>XLOOKUP(B591,Orders!A:A,Orders!B:B,"")</x:f>
        <x:v>45845</x:v>
      </x:c>
      <x:c r="M591" t="str">
        <x:f>XLOOKUP(C591,Products!A:A,Products!C:C,"")</x:f>
        <x:v>Electronics</x:v>
      </x:c>
    </x:row>
    <x:row r="592">
      <x:c r="A592" s="15" t="str">
        <x:v>ITEM00250_2</x:v>
      </x:c>
      <x:c r="B592" s="15" t="str">
        <x:v>ORD00250</x:v>
      </x:c>
      <x:c r="C592" s="15" t="str">
        <x:v>PROD009</x:v>
      </x:c>
      <x:c r="D592" s="15" t="n">
        <x:v>7</x:v>
      </x:c>
      <x:c r="E592" s="15" t="n">
        <x:v>4722.96</x:v>
      </x:c>
      <x:c r="F592" s="15" t="n">
        <x:v>0.1</x:v>
      </x:c>
      <x:c r="G592" s="15" t="n">
        <x:v>33060.72</x:v>
      </x:c>
      <x:c r="H592" s="15" t="n">
        <x:v>29754.65</x:v>
      </x:c>
      <x:c r="I592" s="15" t="n">
        <x:v>22491</x:v>
      </x:c>
      <x:c r="J592" s="15" t="n">
        <x:v>7263.65</x:v>
      </x:c>
      <x:c r="K592" t="str">
        <x:f>XLOOKUP(B592,Orders!A:A,Orders!E:E,"")</x:f>
        <x:v>West</x:v>
      </x:c>
      <x:c r="L592" t="n">
        <x:f>XLOOKUP(B592,Orders!A:A,Orders!B:B,"")</x:f>
        <x:v>45845</x:v>
      </x:c>
      <x:c r="M592" t="str">
        <x:f>XLOOKUP(C592,Products!A:A,Products!C:C,"")</x:f>
        <x:v>Accessories</x:v>
      </x:c>
    </x:row>
    <x:row r="593">
      <x:c r="A593" s="15" t="str">
        <x:v>ITEM00250_3</x:v>
      </x:c>
      <x:c r="B593" s="15" t="str">
        <x:v>ORD00250</x:v>
      </x:c>
      <x:c r="C593" s="15" t="str">
        <x:v>PROD009</x:v>
      </x:c>
      <x:c r="D593" s="15" t="n">
        <x:v>1</x:v>
      </x:c>
      <x:c r="E593" s="15" t="n">
        <x:v>4722.96</x:v>
      </x:c>
      <x:c r="F593" s="15" t="n">
        <x:v>0</x:v>
      </x:c>
      <x:c r="G593" s="15" t="n">
        <x:v>4722.96</x:v>
      </x:c>
      <x:c r="H593" s="15" t="n">
        <x:v>4722.96</x:v>
      </x:c>
      <x:c r="I593" s="15" t="n">
        <x:v>3213</x:v>
      </x:c>
      <x:c r="J593" s="15" t="n">
        <x:v>1509.96</x:v>
      </x:c>
      <x:c r="K593" t="str">
        <x:f>XLOOKUP(B593,Orders!A:A,Orders!E:E,"")</x:f>
        <x:v>West</x:v>
      </x:c>
      <x:c r="L593" t="n">
        <x:f>XLOOKUP(B593,Orders!A:A,Orders!B:B,"")</x:f>
        <x:v>45845</x:v>
      </x:c>
      <x:c r="M593" t="str">
        <x:f>XLOOKUP(C593,Products!A:A,Products!C:C,"")</x:f>
        <x:v>Accessories</x:v>
      </x:c>
    </x:row>
    <x:row r="594">
      <x:c r="A594" s="15" t="str">
        <x:v>ITEM00251_1</x:v>
      </x:c>
      <x:c r="B594" s="15" t="str">
        <x:v>ORD00251</x:v>
      </x:c>
      <x:c r="C594" s="15" t="str">
        <x:v>PROD022</x:v>
      </x:c>
      <x:c r="D594" s="15" t="n">
        <x:v>3</x:v>
      </x:c>
      <x:c r="E594" s="15" t="n">
        <x:v>7775.36</x:v>
      </x:c>
      <x:c r="F594" s="15" t="n">
        <x:v>0.05</x:v>
      </x:c>
      <x:c r="G594" s="15" t="n">
        <x:v>23326.08</x:v>
      </x:c>
      <x:c r="H594" s="15" t="n">
        <x:v>22159.78</x:v>
      </x:c>
      <x:c r="I594" s="15" t="n">
        <x:v>18993</x:v>
      </x:c>
      <x:c r="J594" s="15" t="n">
        <x:v>3166.78</x:v>
      </x:c>
      <x:c r="K594" t="str">
        <x:f>XLOOKUP(B594,Orders!A:A,Orders!E:E,"")</x:f>
        <x:v>West</x:v>
      </x:c>
      <x:c r="L594" t="n">
        <x:f>XLOOKUP(B594,Orders!A:A,Orders!B:B,"")</x:f>
        <x:v>46135</x:v>
      </x:c>
      <x:c r="M594" t="str">
        <x:f>XLOOKUP(C594,Products!A:A,Products!C:C,"")</x:f>
        <x:v>Furniture</x:v>
      </x:c>
    </x:row>
    <x:row r="595">
      <x:c r="A595" s="15" t="str">
        <x:v>ITEM00252_1</x:v>
      </x:c>
      <x:c r="B595" s="15" t="str">
        <x:v>ORD00252</x:v>
      </x:c>
      <x:c r="C595" s="15" t="str">
        <x:v>PROD029</x:v>
      </x:c>
      <x:c r="D595" s="15" t="n">
        <x:v>4</x:v>
      </x:c>
      <x:c r="E595" s="15" t="n">
        <x:v>8430.77</x:v>
      </x:c>
      <x:c r="F595" s="15" t="n">
        <x:v>0</x:v>
      </x:c>
      <x:c r="G595" s="15" t="n">
        <x:v>33723.08</x:v>
      </x:c>
      <x:c r="H595" s="15" t="n">
        <x:v>33723.08</x:v>
      </x:c>
      <x:c r="I595" s="15" t="n">
        <x:v>24740</x:v>
      </x:c>
      <x:c r="J595" s="15" t="n">
        <x:v>8983.08</x:v>
      </x:c>
      <x:c r="K595" t="str">
        <x:f>XLOOKUP(B595,Orders!A:A,Orders!E:E,"")</x:f>
        <x:v>North</x:v>
      </x:c>
      <x:c r="L595" t="n">
        <x:f>XLOOKUP(B595,Orders!A:A,Orders!B:B,"")</x:f>
        <x:v>46165</x:v>
      </x:c>
      <x:c r="M595" t="str">
        <x:f>XLOOKUP(C595,Products!A:A,Products!C:C,"")</x:f>
        <x:v>Office Supplies</x:v>
      </x:c>
    </x:row>
    <x:row r="596">
      <x:c r="A596" s="15" t="str">
        <x:v>ITEM00252_2</x:v>
      </x:c>
      <x:c r="B596" s="15" t="str">
        <x:v>ORD00252</x:v>
      </x:c>
      <x:c r="C596" s="15" t="str">
        <x:v>PROD020</x:v>
      </x:c>
      <x:c r="D596" s="15" t="n">
        <x:v>5</x:v>
      </x:c>
      <x:c r="E596" s="15" t="n">
        <x:v>6564.04</x:v>
      </x:c>
      <x:c r="F596" s="15" t="n">
        <x:v>0.1</x:v>
      </x:c>
      <x:c r="G596" s="15" t="n">
        <x:v>32820.2</x:v>
      </x:c>
      <x:c r="H596" s="15" t="n">
        <x:v>29538.18</x:v>
      </x:c>
      <x:c r="I596" s="15" t="n">
        <x:v>22925</x:v>
      </x:c>
      <x:c r="J596" s="15" t="n">
        <x:v>6613.18</x:v>
      </x:c>
      <x:c r="K596" t="str">
        <x:f>XLOOKUP(B596,Orders!A:A,Orders!E:E,"")</x:f>
        <x:v>North</x:v>
      </x:c>
      <x:c r="L596" t="n">
        <x:f>XLOOKUP(B596,Orders!A:A,Orders!B:B,"")</x:f>
        <x:v>46165</x:v>
      </x:c>
      <x:c r="M596" t="str">
        <x:f>XLOOKUP(C596,Products!A:A,Products!C:C,"")</x:f>
        <x:v>Accessories</x:v>
      </x:c>
    </x:row>
    <x:row r="597">
      <x:c r="A597" s="15" t="str">
        <x:v>ITEM00252_3</x:v>
      </x:c>
      <x:c r="B597" s="15" t="str">
        <x:v>ORD00252</x:v>
      </x:c>
      <x:c r="C597" s="15" t="str">
        <x:v>PROD020</x:v>
      </x:c>
      <x:c r="D597" s="15" t="n">
        <x:v>5</x:v>
      </x:c>
      <x:c r="E597" s="15" t="n">
        <x:v>6564.04</x:v>
      </x:c>
      <x:c r="F597" s="15" t="n">
        <x:v>0.15</x:v>
      </x:c>
      <x:c r="G597" s="15" t="n">
        <x:v>32820.2</x:v>
      </x:c>
      <x:c r="H597" s="15" t="n">
        <x:v>27897.17</x:v>
      </x:c>
      <x:c r="I597" s="15" t="n">
        <x:v>22925</x:v>
      </x:c>
      <x:c r="J597" s="15" t="n">
        <x:v>4972.17</x:v>
      </x:c>
      <x:c r="K597" t="str">
        <x:f>XLOOKUP(B597,Orders!A:A,Orders!E:E,"")</x:f>
        <x:v>North</x:v>
      </x:c>
      <x:c r="L597" t="n">
        <x:f>XLOOKUP(B597,Orders!A:A,Orders!B:B,"")</x:f>
        <x:v>46165</x:v>
      </x:c>
      <x:c r="M597" t="str">
        <x:f>XLOOKUP(C597,Products!A:A,Products!C:C,"")</x:f>
        <x:v>Accessories</x:v>
      </x:c>
    </x:row>
    <x:row r="598">
      <x:c r="A598" s="15" t="str">
        <x:v>ITEM00253_1</x:v>
      </x:c>
      <x:c r="B598" s="15" t="str">
        <x:v>ORD00253</x:v>
      </x:c>
      <x:c r="C598" s="15" t="str">
        <x:v>PROD009</x:v>
      </x:c>
      <x:c r="D598" s="15" t="n">
        <x:v>3</x:v>
      </x:c>
      <x:c r="E598" s="15" t="n">
        <x:v>4722.96</x:v>
      </x:c>
      <x:c r="F598" s="15" t="n">
        <x:v>0</x:v>
      </x:c>
      <x:c r="G598" s="15" t="n">
        <x:v>14168.88</x:v>
      </x:c>
      <x:c r="H598" s="15" t="n">
        <x:v>14168.88</x:v>
      </x:c>
      <x:c r="I598" s="15" t="n">
        <x:v>9639</x:v>
      </x:c>
      <x:c r="J598" s="15" t="n">
        <x:v>4529.88</x:v>
      </x:c>
      <x:c r="K598" t="str">
        <x:f>XLOOKUP(B598,Orders!A:A,Orders!E:E,"")</x:f>
        <x:v>West</x:v>
      </x:c>
      <x:c r="L598" t="n">
        <x:f>XLOOKUP(B598,Orders!A:A,Orders!B:B,"")</x:f>
        <x:v>46174</x:v>
      </x:c>
      <x:c r="M598" t="str">
        <x:f>XLOOKUP(C598,Products!A:A,Products!C:C,"")</x:f>
        <x:v>Accessories</x:v>
      </x:c>
    </x:row>
    <x:row r="599">
      <x:c r="A599" s="15" t="str">
        <x:v>ITEM00253_2</x:v>
      </x:c>
      <x:c r="B599" s="15" t="str">
        <x:v>ORD00253</x:v>
      </x:c>
      <x:c r="C599" s="15" t="str">
        <x:v>PROD039</x:v>
      </x:c>
      <x:c r="D599" s="15" t="n">
        <x:v>3</x:v>
      </x:c>
      <x:c r="E599" s="15" t="n">
        <x:v>5945.62</x:v>
      </x:c>
      <x:c r="F599" s="15" t="n">
        <x:v>0.15</x:v>
      </x:c>
      <x:c r="G599" s="15" t="n">
        <x:v>17836.86</x:v>
      </x:c>
      <x:c r="H599" s="15" t="n">
        <x:v>15161.33</x:v>
      </x:c>
      <x:c r="I599" s="15" t="n">
        <x:v>13719</x:v>
      </x:c>
      <x:c r="J599" s="15" t="n">
        <x:v>1442.33</x:v>
      </x:c>
      <x:c r="K599" t="str">
        <x:f>XLOOKUP(B599,Orders!A:A,Orders!E:E,"")</x:f>
        <x:v>West</x:v>
      </x:c>
      <x:c r="L599" t="n">
        <x:f>XLOOKUP(B599,Orders!A:A,Orders!B:B,"")</x:f>
        <x:v>46174</x:v>
      </x:c>
      <x:c r="M599" t="str">
        <x:f>XLOOKUP(C599,Products!A:A,Products!C:C,"")</x:f>
        <x:v>Office Supplies</x:v>
      </x:c>
    </x:row>
    <x:row r="600">
      <x:c r="A600" s="15" t="str">
        <x:v>ITEM00253_3</x:v>
      </x:c>
      <x:c r="B600" s="15" t="str">
        <x:v>ORD00253</x:v>
      </x:c>
      <x:c r="C600" s="15" t="str">
        <x:v>PROD011</x:v>
      </x:c>
      <x:c r="D600" s="15" t="n">
        <x:v>2</x:v>
      </x:c>
      <x:c r="E600" s="15" t="n">
        <x:v>7135.27</x:v>
      </x:c>
      <x:c r="F600" s="15" t="n">
        <x:v>0</x:v>
      </x:c>
      <x:c r="G600" s="15" t="n">
        <x:v>14270.54</x:v>
      </x:c>
      <x:c r="H600" s="15" t="n">
        <x:v>14270.54</x:v>
      </x:c>
      <x:c r="I600" s="15" t="n">
        <x:v>10406</x:v>
      </x:c>
      <x:c r="J600" s="15" t="n">
        <x:v>3864.54</x:v>
      </x:c>
      <x:c r="K600" t="str">
        <x:f>XLOOKUP(B600,Orders!A:A,Orders!E:E,"")</x:f>
        <x:v>West</x:v>
      </x:c>
      <x:c r="L600" t="n">
        <x:f>XLOOKUP(B600,Orders!A:A,Orders!B:B,"")</x:f>
        <x:v>46174</x:v>
      </x:c>
      <x:c r="M600" t="str">
        <x:f>XLOOKUP(C600,Products!A:A,Products!C:C,"")</x:f>
        <x:v>Accessories</x:v>
      </x:c>
    </x:row>
    <x:row r="601">
      <x:c r="A601" s="15" t="str">
        <x:v>ITEM00253_4</x:v>
      </x:c>
      <x:c r="B601" s="15" t="str">
        <x:v>ORD00253</x:v>
      </x:c>
      <x:c r="C601" s="15" t="str">
        <x:v>PROD017</x:v>
      </x:c>
      <x:c r="D601" s="15" t="n">
        <x:v>6</x:v>
      </x:c>
      <x:c r="E601" s="15" t="n">
        <x:v>7311.62</x:v>
      </x:c>
      <x:c r="F601" s="15" t="n">
        <x:v>0.15</x:v>
      </x:c>
      <x:c r="G601" s="15" t="n">
        <x:v>43869.72</x:v>
      </x:c>
      <x:c r="H601" s="15" t="n">
        <x:v>37289.26</x:v>
      </x:c>
      <x:c r="I601" s="15" t="n">
        <x:v>31548</x:v>
      </x:c>
      <x:c r="J601" s="15" t="n">
        <x:v>5741.26</x:v>
      </x:c>
      <x:c r="K601" t="str">
        <x:f>XLOOKUP(B601,Orders!A:A,Orders!E:E,"")</x:f>
        <x:v>West</x:v>
      </x:c>
      <x:c r="L601" t="n">
        <x:f>XLOOKUP(B601,Orders!A:A,Orders!B:B,"")</x:f>
        <x:v>46174</x:v>
      </x:c>
      <x:c r="M601" t="str">
        <x:f>XLOOKUP(C601,Products!A:A,Products!C:C,"")</x:f>
        <x:v>Accessories</x:v>
      </x:c>
    </x:row>
    <x:row r="602">
      <x:c r="A602" s="15" t="str">
        <x:v>ITEM00254_1</x:v>
      </x:c>
      <x:c r="B602" s="15" t="str">
        <x:v>ORD00254</x:v>
      </x:c>
      <x:c r="C602" s="15" t="str">
        <x:v>PROD010</x:v>
      </x:c>
      <x:c r="D602" s="15" t="n">
        <x:v>4</x:v>
      </x:c>
      <x:c r="E602" s="15" t="n">
        <x:v>8670.63</x:v>
      </x:c>
      <x:c r="F602" s="15" t="n">
        <x:v>0.15</x:v>
      </x:c>
      <x:c r="G602" s="15" t="n">
        <x:v>34682.52</x:v>
      </x:c>
      <x:c r="H602" s="15" t="n">
        <x:v>29480.14</x:v>
      </x:c>
      <x:c r="I602" s="15" t="n">
        <x:v>23412</x:v>
      </x:c>
      <x:c r="J602" s="15" t="n">
        <x:v>6068.14</x:v>
      </x:c>
      <x:c r="K602" t="str">
        <x:f>XLOOKUP(B602,Orders!A:A,Orders!E:E,"")</x:f>
        <x:v>West</x:v>
      </x:c>
      <x:c r="L602" t="n">
        <x:f>XLOOKUP(B602,Orders!A:A,Orders!B:B,"")</x:f>
        <x:v>45763</x:v>
      </x:c>
      <x:c r="M602" t="str">
        <x:f>XLOOKUP(C602,Products!A:A,Products!C:C,"")</x:f>
        <x:v>Accessories</x:v>
      </x:c>
    </x:row>
    <x:row r="603">
      <x:c r="A603" s="15" t="str">
        <x:v>ITEM00254_2</x:v>
      </x:c>
      <x:c r="B603" s="15" t="str">
        <x:v>ORD00254</x:v>
      </x:c>
      <x:c r="C603" s="15" t="str">
        <x:v>PROD027</x:v>
      </x:c>
      <x:c r="D603" s="15" t="n">
        <x:v>4</x:v>
      </x:c>
      <x:c r="E603" s="15" t="n">
        <x:v>6979.71</x:v>
      </x:c>
      <x:c r="F603" s="15" t="n">
        <x:v>0.1</x:v>
      </x:c>
      <x:c r="G603" s="15" t="n">
        <x:v>27918.84</x:v>
      </x:c>
      <x:c r="H603" s="15" t="n">
        <x:v>25126.96</x:v>
      </x:c>
      <x:c r="I603" s="15" t="n">
        <x:v>22548</x:v>
      </x:c>
      <x:c r="J603" s="15" t="n">
        <x:v>2578.96</x:v>
      </x:c>
      <x:c r="K603" t="str">
        <x:f>XLOOKUP(B603,Orders!A:A,Orders!E:E,"")</x:f>
        <x:v>West</x:v>
      </x:c>
      <x:c r="L603" t="n">
        <x:f>XLOOKUP(B603,Orders!A:A,Orders!B:B,"")</x:f>
        <x:v>45763</x:v>
      </x:c>
      <x:c r="M603" t="str">
        <x:f>XLOOKUP(C603,Products!A:A,Products!C:C,"")</x:f>
        <x:v>Electronics</x:v>
      </x:c>
    </x:row>
    <x:row r="604">
      <x:c r="A604" s="15" t="str">
        <x:v>ITEM00255_1</x:v>
      </x:c>
      <x:c r="B604" s="15" t="str">
        <x:v>ORD00255</x:v>
      </x:c>
      <x:c r="C604" s="15" t="str">
        <x:v>PROD023</x:v>
      </x:c>
      <x:c r="D604" s="15" t="n">
        <x:v>8</x:v>
      </x:c>
      <x:c r="E604" s="15" t="n">
        <x:v>5153.56</x:v>
      </x:c>
      <x:c r="F604" s="15" t="n">
        <x:v>0.05</x:v>
      </x:c>
      <x:c r="G604" s="15" t="n">
        <x:v>41228.48</x:v>
      </x:c>
      <x:c r="H604" s="15" t="n">
        <x:v>39167.06</x:v>
      </x:c>
      <x:c r="I604" s="15" t="n">
        <x:v>31664</x:v>
      </x:c>
      <x:c r="J604" s="15" t="n">
        <x:v>7503.06</x:v>
      </x:c>
      <x:c r="K604" t="str">
        <x:f>XLOOKUP(B604,Orders!A:A,Orders!E:E,"")</x:f>
        <x:v>North</x:v>
      </x:c>
      <x:c r="L604" t="n">
        <x:f>XLOOKUP(B604,Orders!A:A,Orders!B:B,"")</x:f>
        <x:v>45694</x:v>
      </x:c>
      <x:c r="M604" t="str">
        <x:f>XLOOKUP(C604,Products!A:A,Products!C:C,"")</x:f>
        <x:v>Electronics</x:v>
      </x:c>
    </x:row>
    <x:row r="605">
      <x:c r="A605" s="15" t="str">
        <x:v>ITEM00255_2</x:v>
      </x:c>
      <x:c r="B605" s="15" t="str">
        <x:v>ORD00255</x:v>
      </x:c>
      <x:c r="C605" s="15" t="str">
        <x:v>PROD004</x:v>
      </x:c>
      <x:c r="D605" s="15" t="n">
        <x:v>5</x:v>
      </x:c>
      <x:c r="E605" s="15" t="n">
        <x:v>5435.39</x:v>
      </x:c>
      <x:c r="F605" s="15" t="n">
        <x:v>0.15</x:v>
      </x:c>
      <x:c r="G605" s="15" t="n">
        <x:v>27176.95</x:v>
      </x:c>
      <x:c r="H605" s="15" t="n">
        <x:v>23100.41</x:v>
      </x:c>
      <x:c r="I605" s="15" t="n">
        <x:v>20705</x:v>
      </x:c>
      <x:c r="J605" s="15" t="n">
        <x:v>2395.41</x:v>
      </x:c>
      <x:c r="K605" t="str">
        <x:f>XLOOKUP(B605,Orders!A:A,Orders!E:E,"")</x:f>
        <x:v>North</x:v>
      </x:c>
      <x:c r="L605" t="n">
        <x:f>XLOOKUP(B605,Orders!A:A,Orders!B:B,"")</x:f>
        <x:v>45694</x:v>
      </x:c>
      <x:c r="M605" t="str">
        <x:f>XLOOKUP(C605,Products!A:A,Products!C:C,"")</x:f>
        <x:v>Office Supplies</x:v>
      </x:c>
    </x:row>
    <x:row r="606">
      <x:c r="A606" s="15" t="str">
        <x:v>ITEM00256_1</x:v>
      </x:c>
      <x:c r="B606" s="15" t="str">
        <x:v>ORD00256</x:v>
      </x:c>
      <x:c r="C606" s="15" t="str">
        <x:v>PROD040</x:v>
      </x:c>
      <x:c r="D606" s="15" t="n">
        <x:v>3</x:v>
      </x:c>
      <x:c r="E606" s="15" t="n">
        <x:v>8561.07</x:v>
      </x:c>
      <x:c r="F606" s="15" t="n">
        <x:v>0</x:v>
      </x:c>
      <x:c r="G606" s="15" t="n">
        <x:v>25683.21</x:v>
      </x:c>
      <x:c r="H606" s="15" t="n">
        <x:v>25683.21</x:v>
      </x:c>
      <x:c r="I606" s="15" t="n">
        <x:v>20523</x:v>
      </x:c>
      <x:c r="J606" s="15" t="n">
        <x:v>5160.21</x:v>
      </x:c>
      <x:c r="K606" t="str">
        <x:f>XLOOKUP(B606,Orders!A:A,Orders!E:E,"")</x:f>
        <x:v>North</x:v>
      </x:c>
      <x:c r="L606" t="n">
        <x:f>XLOOKUP(B606,Orders!A:A,Orders!B:B,"")</x:f>
        <x:v>46174</x:v>
      </x:c>
      <x:c r="M606" t="str">
        <x:f>XLOOKUP(C606,Products!A:A,Products!C:C,"")</x:f>
        <x:v>Electronics</x:v>
      </x:c>
    </x:row>
    <x:row r="607">
      <x:c r="A607" s="15" t="str">
        <x:v>ITEM00256_2</x:v>
      </x:c>
      <x:c r="B607" s="15" t="str">
        <x:v>ORD00256</x:v>
      </x:c>
      <x:c r="C607" s="15" t="str">
        <x:v>PROD006</x:v>
      </x:c>
      <x:c r="D607" s="15" t="n">
        <x:v>3</x:v>
      </x:c>
      <x:c r="E607" s="15" t="n">
        <x:v>4261.26</x:v>
      </x:c>
      <x:c r="F607" s="15" t="n">
        <x:v>0.1</x:v>
      </x:c>
      <x:c r="G607" s="15" t="n">
        <x:v>12783.78</x:v>
      </x:c>
      <x:c r="H607" s="15" t="n">
        <x:v>11505.4</x:v>
      </x:c>
      <x:c r="I607" s="15" t="n">
        <x:v>9201</x:v>
      </x:c>
      <x:c r="J607" s="15" t="n">
        <x:v>2304.4</x:v>
      </x:c>
      <x:c r="K607" t="str">
        <x:f>XLOOKUP(B607,Orders!A:A,Orders!E:E,"")</x:f>
        <x:v>North</x:v>
      </x:c>
      <x:c r="L607" t="n">
        <x:f>XLOOKUP(B607,Orders!A:A,Orders!B:B,"")</x:f>
        <x:v>46174</x:v>
      </x:c>
      <x:c r="M607" t="str">
        <x:f>XLOOKUP(C607,Products!A:A,Products!C:C,"")</x:f>
        <x:v>Office Supplies</x:v>
      </x:c>
    </x:row>
    <x:row r="608">
      <x:c r="A608" s="15" t="str">
        <x:v>ITEM00256_3</x:v>
      </x:c>
      <x:c r="B608" s="15" t="str">
        <x:v>ORD00256</x:v>
      </x:c>
      <x:c r="C608" s="15" t="str">
        <x:v>PROD019</x:v>
      </x:c>
      <x:c r="D608" s="15" t="n">
        <x:v>4</x:v>
      </x:c>
      <x:c r="E608" s="15" t="n">
        <x:v>5996.29</x:v>
      </x:c>
      <x:c r="F608" s="15" t="n">
        <x:v>0.05</x:v>
      </x:c>
      <x:c r="G608" s="15" t="n">
        <x:v>23985.16</x:v>
      </x:c>
      <x:c r="H608" s="15" t="n">
        <x:v>22785.9</x:v>
      </x:c>
      <x:c r="I608" s="15" t="n">
        <x:v>18040</x:v>
      </x:c>
      <x:c r="J608" s="15" t="n">
        <x:v>4745.9</x:v>
      </x:c>
      <x:c r="K608" t="str">
        <x:f>XLOOKUP(B608,Orders!A:A,Orders!E:E,"")</x:f>
        <x:v>North</x:v>
      </x:c>
      <x:c r="L608" t="n">
        <x:f>XLOOKUP(B608,Orders!A:A,Orders!B:B,"")</x:f>
        <x:v>46174</x:v>
      </x:c>
      <x:c r="M608" t="str">
        <x:f>XLOOKUP(C608,Products!A:A,Products!C:C,"")</x:f>
        <x:v>Electronics</x:v>
      </x:c>
    </x:row>
    <x:row r="609">
      <x:c r="A609" s="15" t="str">
        <x:v>ITEM00257_1</x:v>
      </x:c>
      <x:c r="B609" s="15" t="str">
        <x:v>ORD00257</x:v>
      </x:c>
      <x:c r="C609" s="15" t="str">
        <x:v>PROD007</x:v>
      </x:c>
      <x:c r="D609" s="15" t="n">
        <x:v>8</x:v>
      </x:c>
      <x:c r="E609" s="15" t="n">
        <x:v>5013.07</x:v>
      </x:c>
      <x:c r="F609" s="15" t="n">
        <x:v>0.1</x:v>
      </x:c>
      <x:c r="G609" s="15" t="n">
        <x:v>40104.56</x:v>
      </x:c>
      <x:c r="H609" s="15" t="n">
        <x:v>36094.1</x:v>
      </x:c>
      <x:c r="I609" s="15" t="n">
        <x:v>31528</x:v>
      </x:c>
      <x:c r="J609" s="15" t="n">
        <x:v>4566.1</x:v>
      </x:c>
      <x:c r="K609" t="str">
        <x:f>XLOOKUP(B609,Orders!A:A,Orders!E:E,"")</x:f>
        <x:v>South</x:v>
      </x:c>
      <x:c r="L609" t="n">
        <x:f>XLOOKUP(B609,Orders!A:A,Orders!B:B,"")</x:f>
        <x:v>46044</x:v>
      </x:c>
      <x:c r="M609" t="str">
        <x:f>XLOOKUP(C609,Products!A:A,Products!C:C,"")</x:f>
        <x:v>Electronics</x:v>
      </x:c>
    </x:row>
    <x:row r="610">
      <x:c r="A610" s="15" t="str">
        <x:v>ITEM00257_2</x:v>
      </x:c>
      <x:c r="B610" s="15" t="str">
        <x:v>ORD00257</x:v>
      </x:c>
      <x:c r="C610" s="15" t="str">
        <x:v>PROD026</x:v>
      </x:c>
      <x:c r="D610" s="15" t="n">
        <x:v>7</x:v>
      </x:c>
      <x:c r="E610" s="15" t="n">
        <x:v>3848.69</x:v>
      </x:c>
      <x:c r="F610" s="15" t="n">
        <x:v>0</x:v>
      </x:c>
      <x:c r="G610" s="15" t="n">
        <x:v>26940.83</x:v>
      </x:c>
      <x:c r="H610" s="15" t="n">
        <x:v>26940.83</x:v>
      </x:c>
      <x:c r="I610" s="15" t="n">
        <x:v>18438</x:v>
      </x:c>
      <x:c r="J610" s="15" t="n">
        <x:v>8502.83</x:v>
      </x:c>
      <x:c r="K610" t="str">
        <x:f>XLOOKUP(B610,Orders!A:A,Orders!E:E,"")</x:f>
        <x:v>South</x:v>
      </x:c>
      <x:c r="L610" t="n">
        <x:f>XLOOKUP(B610,Orders!A:A,Orders!B:B,"")</x:f>
        <x:v>46044</x:v>
      </x:c>
      <x:c r="M610" t="str">
        <x:f>XLOOKUP(C610,Products!A:A,Products!C:C,"")</x:f>
        <x:v>Accessories</x:v>
      </x:c>
    </x:row>
    <x:row r="611">
      <x:c r="A611" s="15" t="str">
        <x:v>ITEM00257_3</x:v>
      </x:c>
      <x:c r="B611" s="15" t="str">
        <x:v>ORD00257</x:v>
      </x:c>
      <x:c r="C611" s="15" t="str">
        <x:v>PROD026</x:v>
      </x:c>
      <x:c r="D611" s="15" t="n">
        <x:v>4</x:v>
      </x:c>
      <x:c r="E611" s="15" t="n">
        <x:v>3848.69</x:v>
      </x:c>
      <x:c r="F611" s="15" t="n">
        <x:v>0.1</x:v>
      </x:c>
      <x:c r="G611" s="15" t="n">
        <x:v>15394.76</x:v>
      </x:c>
      <x:c r="H611" s="15" t="n">
        <x:v>13855.28</x:v>
      </x:c>
      <x:c r="I611" s="15" t="n">
        <x:v>10536</x:v>
      </x:c>
      <x:c r="J611" s="15" t="n">
        <x:v>3319.28</x:v>
      </x:c>
      <x:c r="K611" t="str">
        <x:f>XLOOKUP(B611,Orders!A:A,Orders!E:E,"")</x:f>
        <x:v>South</x:v>
      </x:c>
      <x:c r="L611" t="n">
        <x:f>XLOOKUP(B611,Orders!A:A,Orders!B:B,"")</x:f>
        <x:v>46044</x:v>
      </x:c>
      <x:c r="M611" t="str">
        <x:f>XLOOKUP(C611,Products!A:A,Products!C:C,"")</x:f>
        <x:v>Accessories</x:v>
      </x:c>
    </x:row>
    <x:row r="612">
      <x:c r="A612" s="15" t="str">
        <x:v>ITEM00258_1</x:v>
      </x:c>
      <x:c r="B612" s="15" t="str">
        <x:v>ORD00258</x:v>
      </x:c>
      <x:c r="C612" s="15" t="str">
        <x:v>PROD032</x:v>
      </x:c>
      <x:c r="D612" s="15" t="n">
        <x:v>7</x:v>
      </x:c>
      <x:c r="E612" s="15" t="n">
        <x:v>6307.06</x:v>
      </x:c>
      <x:c r="F612" s="15" t="n">
        <x:v>0.15</x:v>
      </x:c>
      <x:c r="G612" s="15" t="n">
        <x:v>44149.42</x:v>
      </x:c>
      <x:c r="H612" s="15" t="n">
        <x:v>37527.01</x:v>
      </x:c>
      <x:c r="I612" s="15" t="n">
        <x:v>35539</x:v>
      </x:c>
      <x:c r="J612" s="15" t="n">
        <x:v>1988.01</x:v>
      </x:c>
      <x:c r="K612" t="str">
        <x:f>XLOOKUP(B612,Orders!A:A,Orders!E:E,"")</x:f>
        <x:v>East</x:v>
      </x:c>
      <x:c r="L612" t="n">
        <x:f>XLOOKUP(B612,Orders!A:A,Orders!B:B,"")</x:f>
        <x:v>45989</x:v>
      </x:c>
      <x:c r="M612" t="str">
        <x:f>XLOOKUP(C612,Products!A:A,Products!C:C,"")</x:f>
        <x:v>Electronics</x:v>
      </x:c>
    </x:row>
    <x:row r="613">
      <x:c r="A613" s="15" t="str">
        <x:v>ITEM00259_1</x:v>
      </x:c>
      <x:c r="B613" s="15" t="str">
        <x:v>ORD00259</x:v>
      </x:c>
      <x:c r="C613" s="15" t="str">
        <x:v>PROD003</x:v>
      </x:c>
      <x:c r="D613" s="15" t="n">
        <x:v>7</x:v>
      </x:c>
      <x:c r="E613" s="15" t="n">
        <x:v>10757.89</x:v>
      </x:c>
      <x:c r="F613" s="15" t="n">
        <x:v>0.1</x:v>
      </x:c>
      <x:c r="G613" s="15" t="n">
        <x:v>75305.23</x:v>
      </x:c>
      <x:c r="H613" s="15" t="n">
        <x:v>67774.71</x:v>
      </x:c>
      <x:c r="I613" s="15" t="n">
        <x:v>51947</x:v>
      </x:c>
      <x:c r="J613" s="15" t="n">
        <x:v>15827.71</x:v>
      </x:c>
      <x:c r="K613" t="str">
        <x:f>XLOOKUP(B613,Orders!A:A,Orders!E:E,"")</x:f>
        <x:v>East</x:v>
      </x:c>
      <x:c r="L613" t="n">
        <x:f>XLOOKUP(B613,Orders!A:A,Orders!B:B,"")</x:f>
        <x:v>45973</x:v>
      </x:c>
      <x:c r="M613" t="str">
        <x:f>XLOOKUP(C613,Products!A:A,Products!C:C,"")</x:f>
        <x:v>Accessories</x:v>
      </x:c>
    </x:row>
    <x:row r="614">
      <x:c r="A614" s="15" t="str">
        <x:v>ITEM00259_2</x:v>
      </x:c>
      <x:c r="B614" s="15" t="str">
        <x:v>ORD00259</x:v>
      </x:c>
      <x:c r="C614" s="15" t="str">
        <x:v>PROD040</x:v>
      </x:c>
      <x:c r="D614" s="15" t="n">
        <x:v>4</x:v>
      </x:c>
      <x:c r="E614" s="15" t="n">
        <x:v>8561.07</x:v>
      </x:c>
      <x:c r="F614" s="15" t="n">
        <x:v>0.1</x:v>
      </x:c>
      <x:c r="G614" s="15" t="n">
        <x:v>34244.28</x:v>
      </x:c>
      <x:c r="H614" s="15" t="n">
        <x:v>30819.85</x:v>
      </x:c>
      <x:c r="I614" s="15" t="n">
        <x:v>27364</x:v>
      </x:c>
      <x:c r="J614" s="15" t="n">
        <x:v>3455.85</x:v>
      </x:c>
      <x:c r="K614" t="str">
        <x:f>XLOOKUP(B614,Orders!A:A,Orders!E:E,"")</x:f>
        <x:v>East</x:v>
      </x:c>
      <x:c r="L614" t="n">
        <x:f>XLOOKUP(B614,Orders!A:A,Orders!B:B,"")</x:f>
        <x:v>45973</x:v>
      </x:c>
      <x:c r="M614" t="str">
        <x:f>XLOOKUP(C614,Products!A:A,Products!C:C,"")</x:f>
        <x:v>Electronics</x:v>
      </x:c>
    </x:row>
    <x:row r="615">
      <x:c r="A615" s="15" t="str">
        <x:v>ITEM00260_1</x:v>
      </x:c>
      <x:c r="B615" s="15" t="str">
        <x:v>ORD00260</x:v>
      </x:c>
      <x:c r="C615" s="15" t="str">
        <x:v>PROD008</x:v>
      </x:c>
      <x:c r="D615" s="15" t="n">
        <x:v>6</x:v>
      </x:c>
      <x:c r="E615" s="15" t="n">
        <x:v>8534.48</x:v>
      </x:c>
      <x:c r="F615" s="15" t="n">
        <x:v>0</x:v>
      </x:c>
      <x:c r="G615" s="15" t="n">
        <x:v>51206.88</x:v>
      </x:c>
      <x:c r="H615" s="15" t="n">
        <x:v>51206.88</x:v>
      </x:c>
      <x:c r="I615" s="15" t="n">
        <x:v>37182</x:v>
      </x:c>
      <x:c r="J615" s="15" t="n">
        <x:v>14024.88</x:v>
      </x:c>
      <x:c r="K615" t="str">
        <x:f>XLOOKUP(B615,Orders!A:A,Orders!E:E,"")</x:f>
        <x:v>West</x:v>
      </x:c>
      <x:c r="L615" t="n">
        <x:f>XLOOKUP(B615,Orders!A:A,Orders!B:B,"")</x:f>
        <x:v>45783</x:v>
      </x:c>
      <x:c r="M615" t="str">
        <x:f>XLOOKUP(C615,Products!A:A,Products!C:C,"")</x:f>
        <x:v>Office Supplies</x:v>
      </x:c>
    </x:row>
    <x:row r="616">
      <x:c r="A616" s="15" t="str">
        <x:v>ITEM00261_1</x:v>
      </x:c>
      <x:c r="B616" s="15" t="str">
        <x:v>ORD00261</x:v>
      </x:c>
      <x:c r="C616" s="15" t="str">
        <x:v>PROD040</x:v>
      </x:c>
      <x:c r="D616" s="15" t="n">
        <x:v>2</x:v>
      </x:c>
      <x:c r="E616" s="15" t="n">
        <x:v>8561.07</x:v>
      </x:c>
      <x:c r="F616" s="15" t="n">
        <x:v>0</x:v>
      </x:c>
      <x:c r="G616" s="15" t="n">
        <x:v>17122.14</x:v>
      </x:c>
      <x:c r="H616" s="15" t="n">
        <x:v>17122.14</x:v>
      </x:c>
      <x:c r="I616" s="15" t="n">
        <x:v>13682</x:v>
      </x:c>
      <x:c r="J616" s="15" t="n">
        <x:v>3440.14</x:v>
      </x:c>
      <x:c r="K616" t="str">
        <x:f>XLOOKUP(B616,Orders!A:A,Orders!E:E,"")</x:f>
        <x:v>East</x:v>
      </x:c>
      <x:c r="L616" t="n">
        <x:f>XLOOKUP(B616,Orders!A:A,Orders!B:B,"")</x:f>
        <x:v>46135</x:v>
      </x:c>
      <x:c r="M616" t="str">
        <x:f>XLOOKUP(C616,Products!A:A,Products!C:C,"")</x:f>
        <x:v>Electronics</x:v>
      </x:c>
    </x:row>
    <x:row r="617">
      <x:c r="A617" s="15" t="str">
        <x:v>ITEM00262_1</x:v>
      </x:c>
      <x:c r="B617" s="15" t="str">
        <x:v>ORD00262</x:v>
      </x:c>
      <x:c r="C617" s="15" t="str">
        <x:v>PROD035</x:v>
      </x:c>
      <x:c r="D617" s="15" t="n">
        <x:v>4</x:v>
      </x:c>
      <x:c r="E617" s="15" t="n">
        <x:v>3972.26</x:v>
      </x:c>
      <x:c r="F617" s="15" t="n">
        <x:v>0.05</x:v>
      </x:c>
      <x:c r="G617" s="15" t="n">
        <x:v>15889.04</x:v>
      </x:c>
      <x:c r="H617" s="15" t="n">
        <x:v>15094.59</x:v>
      </x:c>
      <x:c r="I617" s="15" t="n">
        <x:v>12748</x:v>
      </x:c>
      <x:c r="J617" s="15" t="n">
        <x:v>2346.59</x:v>
      </x:c>
      <x:c r="K617" t="str">
        <x:f>XLOOKUP(B617,Orders!A:A,Orders!E:E,"")</x:f>
        <x:v>East</x:v>
      </x:c>
      <x:c r="L617" t="n">
        <x:f>XLOOKUP(B617,Orders!A:A,Orders!B:B,"")</x:f>
        <x:v>45963</x:v>
      </x:c>
      <x:c r="M617" t="str">
        <x:f>XLOOKUP(C617,Products!A:A,Products!C:C,"")</x:f>
        <x:v>Electronics</x:v>
      </x:c>
    </x:row>
    <x:row r="618">
      <x:c r="A618" s="15" t="str">
        <x:v>ITEM00262_2</x:v>
      </x:c>
      <x:c r="B618" s="15" t="str">
        <x:v>ORD00262</x:v>
      </x:c>
      <x:c r="C618" s="15" t="str">
        <x:v>PROD039</x:v>
      </x:c>
      <x:c r="D618" s="15" t="n">
        <x:v>6</x:v>
      </x:c>
      <x:c r="E618" s="15" t="n">
        <x:v>5945.62</x:v>
      </x:c>
      <x:c r="F618" s="15" t="n">
        <x:v>0</x:v>
      </x:c>
      <x:c r="G618" s="15" t="n">
        <x:v>35673.72</x:v>
      </x:c>
      <x:c r="H618" s="15" t="n">
        <x:v>35673.72</x:v>
      </x:c>
      <x:c r="I618" s="15" t="n">
        <x:v>27438</x:v>
      </x:c>
      <x:c r="J618" s="15" t="n">
        <x:v>8235.72</x:v>
      </x:c>
      <x:c r="K618" t="str">
        <x:f>XLOOKUP(B618,Orders!A:A,Orders!E:E,"")</x:f>
        <x:v>East</x:v>
      </x:c>
      <x:c r="L618" t="n">
        <x:f>XLOOKUP(B618,Orders!A:A,Orders!B:B,"")</x:f>
        <x:v>45963</x:v>
      </x:c>
      <x:c r="M618" t="str">
        <x:f>XLOOKUP(C618,Products!A:A,Products!C:C,"")</x:f>
        <x:v>Office Supplies</x:v>
      </x:c>
    </x:row>
    <x:row r="619">
      <x:c r="A619" s="15" t="str">
        <x:v>ITEM00262_3</x:v>
      </x:c>
      <x:c r="B619" s="15" t="str">
        <x:v>ORD00262</x:v>
      </x:c>
      <x:c r="C619" s="15" t="str">
        <x:v>PROD003</x:v>
      </x:c>
      <x:c r="D619" s="15" t="n">
        <x:v>3</x:v>
      </x:c>
      <x:c r="E619" s="15" t="n">
        <x:v>10757.89</x:v>
      </x:c>
      <x:c r="F619" s="15" t="n">
        <x:v>0.05</x:v>
      </x:c>
      <x:c r="G619" s="15" t="n">
        <x:v>32273.67</x:v>
      </x:c>
      <x:c r="H619" s="15" t="n">
        <x:v>30659.99</x:v>
      </x:c>
      <x:c r="I619" s="15" t="n">
        <x:v>22263</x:v>
      </x:c>
      <x:c r="J619" s="15" t="n">
        <x:v>8396.99</x:v>
      </x:c>
      <x:c r="K619" t="str">
        <x:f>XLOOKUP(B619,Orders!A:A,Orders!E:E,"")</x:f>
        <x:v>East</x:v>
      </x:c>
      <x:c r="L619" t="n">
        <x:f>XLOOKUP(B619,Orders!A:A,Orders!B:B,"")</x:f>
        <x:v>45963</x:v>
      </x:c>
      <x:c r="M619" t="str">
        <x:f>XLOOKUP(C619,Products!A:A,Products!C:C,"")</x:f>
        <x:v>Accessories</x:v>
      </x:c>
    </x:row>
    <x:row r="620">
      <x:c r="A620" s="15" t="str">
        <x:v>ITEM00263_1</x:v>
      </x:c>
      <x:c r="B620" s="15" t="str">
        <x:v>ORD00263</x:v>
      </x:c>
      <x:c r="C620" s="15" t="str">
        <x:v>PROD003</x:v>
      </x:c>
      <x:c r="D620" s="15" t="n">
        <x:v>3</x:v>
      </x:c>
      <x:c r="E620" s="15" t="n">
        <x:v>10757.89</x:v>
      </x:c>
      <x:c r="F620" s="15" t="n">
        <x:v>0.05</x:v>
      </x:c>
      <x:c r="G620" s="15" t="n">
        <x:v>32273.67</x:v>
      </x:c>
      <x:c r="H620" s="15" t="n">
        <x:v>30659.99</x:v>
      </x:c>
      <x:c r="I620" s="15" t="n">
        <x:v>22263</x:v>
      </x:c>
      <x:c r="J620" s="15" t="n">
        <x:v>8396.99</x:v>
      </x:c>
      <x:c r="K620" t="str">
        <x:f>XLOOKUP(B620,Orders!A:A,Orders!E:E,"")</x:f>
        <x:v>West</x:v>
      </x:c>
      <x:c r="L620" t="n">
        <x:f>XLOOKUP(B620,Orders!A:A,Orders!B:B,"")</x:f>
        <x:v>45904</x:v>
      </x:c>
      <x:c r="M620" t="str">
        <x:f>XLOOKUP(C620,Products!A:A,Products!C:C,"")</x:f>
        <x:v>Accessories</x:v>
      </x:c>
    </x:row>
    <x:row r="621">
      <x:c r="A621" s="15" t="str">
        <x:v>ITEM00263_2</x:v>
      </x:c>
      <x:c r="B621" s="15" t="str">
        <x:v>ORD00263</x:v>
      </x:c>
      <x:c r="C621" s="15" t="str">
        <x:v>PROD008</x:v>
      </x:c>
      <x:c r="D621" s="15" t="n">
        <x:v>2</x:v>
      </x:c>
      <x:c r="E621" s="15" t="n">
        <x:v>8534.48</x:v>
      </x:c>
      <x:c r="F621" s="15" t="n">
        <x:v>0.15</x:v>
      </x:c>
      <x:c r="G621" s="15" t="n">
        <x:v>17068.96</x:v>
      </x:c>
      <x:c r="H621" s="15" t="n">
        <x:v>14508.62</x:v>
      </x:c>
      <x:c r="I621" s="15" t="n">
        <x:v>12394</x:v>
      </x:c>
      <x:c r="J621" s="15" t="n">
        <x:v>2114.62</x:v>
      </x:c>
      <x:c r="K621" t="str">
        <x:f>XLOOKUP(B621,Orders!A:A,Orders!E:E,"")</x:f>
        <x:v>West</x:v>
      </x:c>
      <x:c r="L621" t="n">
        <x:f>XLOOKUP(B621,Orders!A:A,Orders!B:B,"")</x:f>
        <x:v>45904</x:v>
      </x:c>
      <x:c r="M621" t="str">
        <x:f>XLOOKUP(C621,Products!A:A,Products!C:C,"")</x:f>
        <x:v>Office Supplies</x:v>
      </x:c>
    </x:row>
    <x:row r="622">
      <x:c r="A622" s="15" t="str">
        <x:v>ITEM00263_3</x:v>
      </x:c>
      <x:c r="B622" s="15" t="str">
        <x:v>ORD00263</x:v>
      </x:c>
      <x:c r="C622" s="15" t="str">
        <x:v>PROD009</x:v>
      </x:c>
      <x:c r="D622" s="15" t="n">
        <x:v>3</x:v>
      </x:c>
      <x:c r="E622" s="15" t="n">
        <x:v>4722.96</x:v>
      </x:c>
      <x:c r="F622" s="15" t="n">
        <x:v>0.15</x:v>
      </x:c>
      <x:c r="G622" s="15" t="n">
        <x:v>14168.88</x:v>
      </x:c>
      <x:c r="H622" s="15" t="n">
        <x:v>12043.55</x:v>
      </x:c>
      <x:c r="I622" s="15" t="n">
        <x:v>9639</x:v>
      </x:c>
      <x:c r="J622" s="15" t="n">
        <x:v>2404.55</x:v>
      </x:c>
      <x:c r="K622" t="str">
        <x:f>XLOOKUP(B622,Orders!A:A,Orders!E:E,"")</x:f>
        <x:v>West</x:v>
      </x:c>
      <x:c r="L622" t="n">
        <x:f>XLOOKUP(B622,Orders!A:A,Orders!B:B,"")</x:f>
        <x:v>45904</x:v>
      </x:c>
      <x:c r="M622" t="str">
        <x:f>XLOOKUP(C622,Products!A:A,Products!C:C,"")</x:f>
        <x:v>Accessories</x:v>
      </x:c>
    </x:row>
    <x:row r="623">
      <x:c r="A623" s="15" t="str">
        <x:v>ITEM00263_4</x:v>
      </x:c>
      <x:c r="B623" s="15" t="str">
        <x:v>ORD00263</x:v>
      </x:c>
      <x:c r="C623" s="15" t="str">
        <x:v>PROD036</x:v>
      </x:c>
      <x:c r="D623" s="15" t="n">
        <x:v>5</x:v>
      </x:c>
      <x:c r="E623" s="15" t="n">
        <x:v>7158.64</x:v>
      </x:c>
      <x:c r="F623" s="15" t="n">
        <x:v>0.15</x:v>
      </x:c>
      <x:c r="G623" s="15" t="n">
        <x:v>35793.2</x:v>
      </x:c>
      <x:c r="H623" s="15" t="n">
        <x:v>30424.22</x:v>
      </x:c>
      <x:c r="I623" s="15" t="n">
        <x:v>25855</x:v>
      </x:c>
      <x:c r="J623" s="15" t="n">
        <x:v>4569.22</x:v>
      </x:c>
      <x:c r="K623" t="str">
        <x:f>XLOOKUP(B623,Orders!A:A,Orders!E:E,"")</x:f>
        <x:v>West</x:v>
      </x:c>
      <x:c r="L623" t="n">
        <x:f>XLOOKUP(B623,Orders!A:A,Orders!B:B,"")</x:f>
        <x:v>45904</x:v>
      </x:c>
      <x:c r="M623" t="str">
        <x:f>XLOOKUP(C623,Products!A:A,Products!C:C,"")</x:f>
        <x:v>Accessories</x:v>
      </x:c>
    </x:row>
    <x:row r="624">
      <x:c r="A624" s="15" t="str">
        <x:v>ITEM00264_1</x:v>
      </x:c>
      <x:c r="B624" s="15" t="str">
        <x:v>ORD00264</x:v>
      </x:c>
      <x:c r="C624" s="15" t="str">
        <x:v>PROD020</x:v>
      </x:c>
      <x:c r="D624" s="15" t="n">
        <x:v>1</x:v>
      </x:c>
      <x:c r="E624" s="15" t="n">
        <x:v>6564.04</x:v>
      </x:c>
      <x:c r="F624" s="15" t="n">
        <x:v>0</x:v>
      </x:c>
      <x:c r="G624" s="15" t="n">
        <x:v>6564.04</x:v>
      </x:c>
      <x:c r="H624" s="15" t="n">
        <x:v>6564.04</x:v>
      </x:c>
      <x:c r="I624" s="15" t="n">
        <x:v>4585</x:v>
      </x:c>
      <x:c r="J624" s="15" t="n">
        <x:v>1979.04</x:v>
      </x:c>
      <x:c r="K624" t="str">
        <x:f>XLOOKUP(B624,Orders!A:A,Orders!E:E,"")</x:f>
        <x:v>South</x:v>
      </x:c>
      <x:c r="L624" t="n">
        <x:f>XLOOKUP(B624,Orders!A:A,Orders!B:B,"")</x:f>
        <x:v>45806</x:v>
      </x:c>
      <x:c r="M624" t="str">
        <x:f>XLOOKUP(C624,Products!A:A,Products!C:C,"")</x:f>
        <x:v>Accessories</x:v>
      </x:c>
    </x:row>
    <x:row r="625">
      <x:c r="A625" s="15" t="str">
        <x:v>ITEM00264_2</x:v>
      </x:c>
      <x:c r="B625" s="15" t="str">
        <x:v>ORD00264</x:v>
      </x:c>
      <x:c r="C625" s="15" t="str">
        <x:v>PROD009</x:v>
      </x:c>
      <x:c r="D625" s="15" t="n">
        <x:v>8</x:v>
      </x:c>
      <x:c r="E625" s="15" t="n">
        <x:v>4722.96</x:v>
      </x:c>
      <x:c r="F625" s="15" t="n">
        <x:v>0</x:v>
      </x:c>
      <x:c r="G625" s="15" t="n">
        <x:v>37783.68</x:v>
      </x:c>
      <x:c r="H625" s="15" t="n">
        <x:v>37783.68</x:v>
      </x:c>
      <x:c r="I625" s="15" t="n">
        <x:v>25704</x:v>
      </x:c>
      <x:c r="J625" s="15" t="n">
        <x:v>12079.68</x:v>
      </x:c>
      <x:c r="K625" t="str">
        <x:f>XLOOKUP(B625,Orders!A:A,Orders!E:E,"")</x:f>
        <x:v>South</x:v>
      </x:c>
      <x:c r="L625" t="n">
        <x:f>XLOOKUP(B625,Orders!A:A,Orders!B:B,"")</x:f>
        <x:v>45806</x:v>
      </x:c>
      <x:c r="M625" t="str">
        <x:f>XLOOKUP(C625,Products!A:A,Products!C:C,"")</x:f>
        <x:v>Accessories</x:v>
      </x:c>
    </x:row>
    <x:row r="626">
      <x:c r="A626" s="15" t="str">
        <x:v>ITEM00264_3</x:v>
      </x:c>
      <x:c r="B626" s="15" t="str">
        <x:v>ORD00264</x:v>
      </x:c>
      <x:c r="C626" s="15" t="str">
        <x:v>PROD033</x:v>
      </x:c>
      <x:c r="D626" s="15" t="n">
        <x:v>8</x:v>
      </x:c>
      <x:c r="E626" s="15" t="n">
        <x:v>3912.41</x:v>
      </x:c>
      <x:c r="F626" s="15" t="n">
        <x:v>0.05</x:v>
      </x:c>
      <x:c r="G626" s="15" t="n">
        <x:v>31299.28</x:v>
      </x:c>
      <x:c r="H626" s="15" t="n">
        <x:v>29734.32</x:v>
      </x:c>
      <x:c r="I626" s="15" t="n">
        <x:v>23928</x:v>
      </x:c>
      <x:c r="J626" s="15" t="n">
        <x:v>5806.32</x:v>
      </x:c>
      <x:c r="K626" t="str">
        <x:f>XLOOKUP(B626,Orders!A:A,Orders!E:E,"")</x:f>
        <x:v>South</x:v>
      </x:c>
      <x:c r="L626" t="n">
        <x:f>XLOOKUP(B626,Orders!A:A,Orders!B:B,"")</x:f>
        <x:v>45806</x:v>
      </x:c>
      <x:c r="M626" t="str">
        <x:f>XLOOKUP(C626,Products!A:A,Products!C:C,"")</x:f>
        <x:v>Furniture</x:v>
      </x:c>
    </x:row>
    <x:row r="627">
      <x:c r="A627" s="15" t="str">
        <x:v>ITEM00265_1</x:v>
      </x:c>
      <x:c r="B627" s="15" t="str">
        <x:v>ORD00265</x:v>
      </x:c>
      <x:c r="C627" s="15" t="str">
        <x:v>PROD003</x:v>
      </x:c>
      <x:c r="D627" s="15" t="n">
        <x:v>5</x:v>
      </x:c>
      <x:c r="E627" s="15" t="n">
        <x:v>10757.89</x:v>
      </x:c>
      <x:c r="F627" s="15" t="n">
        <x:v>0.1</x:v>
      </x:c>
      <x:c r="G627" s="15" t="n">
        <x:v>53789.45</x:v>
      </x:c>
      <x:c r="H627" s="15" t="n">
        <x:v>48410.5</x:v>
      </x:c>
      <x:c r="I627" s="15" t="n">
        <x:v>37105</x:v>
      </x:c>
      <x:c r="J627" s="15" t="n">
        <x:v>11305.5</x:v>
      </x:c>
      <x:c r="K627" t="str">
        <x:f>XLOOKUP(B627,Orders!A:A,Orders!E:E,"")</x:f>
        <x:v>South</x:v>
      </x:c>
      <x:c r="L627" t="n">
        <x:f>XLOOKUP(B627,Orders!A:A,Orders!B:B,"")</x:f>
        <x:v>46012</x:v>
      </x:c>
      <x:c r="M627" t="str">
        <x:f>XLOOKUP(C627,Products!A:A,Products!C:C,"")</x:f>
        <x:v>Accessories</x:v>
      </x:c>
    </x:row>
    <x:row r="628">
      <x:c r="A628" s="15" t="str">
        <x:v>ITEM00265_2</x:v>
      </x:c>
      <x:c r="B628" s="15" t="str">
        <x:v>ORD00265</x:v>
      </x:c>
      <x:c r="C628" s="15" t="str">
        <x:v>PROD025</x:v>
      </x:c>
      <x:c r="D628" s="15" t="n">
        <x:v>8</x:v>
      </x:c>
      <x:c r="E628" s="15" t="n">
        <x:v>1148.84</x:v>
      </x:c>
      <x:c r="F628" s="15" t="n">
        <x:v>0.1</x:v>
      </x:c>
      <x:c r="G628" s="15" t="n">
        <x:v>9190.72</x:v>
      </x:c>
      <x:c r="H628" s="15" t="n">
        <x:v>8271.65</x:v>
      </x:c>
      <x:c r="I628" s="15" t="n">
        <x:v>7024</x:v>
      </x:c>
      <x:c r="J628" s="15" t="n">
        <x:v>1247.65</x:v>
      </x:c>
      <x:c r="K628" t="str">
        <x:f>XLOOKUP(B628,Orders!A:A,Orders!E:E,"")</x:f>
        <x:v>South</x:v>
      </x:c>
      <x:c r="L628" t="n">
        <x:f>XLOOKUP(B628,Orders!A:A,Orders!B:B,"")</x:f>
        <x:v>46012</x:v>
      </x:c>
      <x:c r="M628" t="str">
        <x:f>XLOOKUP(C628,Products!A:A,Products!C:C,"")</x:f>
        <x:v>Furniture</x:v>
      </x:c>
    </x:row>
    <x:row r="629">
      <x:c r="A629" s="15" t="str">
        <x:v>ITEM00266_1</x:v>
      </x:c>
      <x:c r="B629" s="15" t="str">
        <x:v>ORD00266</x:v>
      </x:c>
      <x:c r="C629" s="15" t="str">
        <x:v>PROD008</x:v>
      </x:c>
      <x:c r="D629" s="15" t="n">
        <x:v>5</x:v>
      </x:c>
      <x:c r="E629" s="15" t="n">
        <x:v>8534.48</x:v>
      </x:c>
      <x:c r="F629" s="15" t="n">
        <x:v>0.05</x:v>
      </x:c>
      <x:c r="G629" s="15" t="n">
        <x:v>42672.4</x:v>
      </x:c>
      <x:c r="H629" s="15" t="n">
        <x:v>40538.78</x:v>
      </x:c>
      <x:c r="I629" s="15" t="n">
        <x:v>30985</x:v>
      </x:c>
      <x:c r="J629" s="15" t="n">
        <x:v>9553.78</x:v>
      </x:c>
      <x:c r="K629" t="str">
        <x:f>XLOOKUP(B629,Orders!A:A,Orders!E:E,"")</x:f>
        <x:v>East</x:v>
      </x:c>
      <x:c r="L629" t="n">
        <x:f>XLOOKUP(B629,Orders!A:A,Orders!B:B,"")</x:f>
        <x:v>45954</x:v>
      </x:c>
      <x:c r="M629" t="str">
        <x:f>XLOOKUP(C629,Products!A:A,Products!C:C,"")</x:f>
        <x:v>Office Supplies</x:v>
      </x:c>
    </x:row>
    <x:row r="630">
      <x:c r="A630" s="15" t="str">
        <x:v>ITEM00267_1</x:v>
      </x:c>
      <x:c r="B630" s="15" t="str">
        <x:v>ORD00267</x:v>
      </x:c>
      <x:c r="C630" s="15" t="str">
        <x:v>PROD002</x:v>
      </x:c>
      <x:c r="D630" s="15" t="n">
        <x:v>5</x:v>
      </x:c>
      <x:c r="E630" s="15" t="n">
        <x:v>4655.92</x:v>
      </x:c>
      <x:c r="F630" s="15" t="n">
        <x:v>0</x:v>
      </x:c>
      <x:c r="G630" s="15" t="n">
        <x:v>23279.6</x:v>
      </x:c>
      <x:c r="H630" s="15" t="n">
        <x:v>23279.6</x:v>
      </x:c>
      <x:c r="I630" s="15" t="n">
        <x:v>15665</x:v>
      </x:c>
      <x:c r="J630" s="15" t="n">
        <x:v>7614.6</x:v>
      </x:c>
      <x:c r="K630" t="str">
        <x:f>XLOOKUP(B630,Orders!A:A,Orders!E:E,"")</x:f>
        <x:v>South</x:v>
      </x:c>
      <x:c r="L630" t="n">
        <x:f>XLOOKUP(B630,Orders!A:A,Orders!B:B,"")</x:f>
        <x:v>46060</x:v>
      </x:c>
      <x:c r="M630" t="str">
        <x:f>XLOOKUP(C630,Products!A:A,Products!C:C,"")</x:f>
        <x:v>Accessories</x:v>
      </x:c>
    </x:row>
    <x:row r="631">
      <x:c r="A631" s="15" t="str">
        <x:v>ITEM00267_2</x:v>
      </x:c>
      <x:c r="B631" s="15" t="str">
        <x:v>ORD00267</x:v>
      </x:c>
      <x:c r="C631" s="15" t="str">
        <x:v>PROD031</x:v>
      </x:c>
      <x:c r="D631" s="15" t="n">
        <x:v>7</x:v>
      </x:c>
      <x:c r="E631" s="15" t="n">
        <x:v>3371.81</x:v>
      </x:c>
      <x:c r="F631" s="15" t="n">
        <x:v>0.1</x:v>
      </x:c>
      <x:c r="G631" s="15" t="n">
        <x:v>23602.67</x:v>
      </x:c>
      <x:c r="H631" s="15" t="n">
        <x:v>21242.4</x:v>
      </x:c>
      <x:c r="I631" s="15" t="n">
        <x:v>19579</x:v>
      </x:c>
      <x:c r="J631" s="15" t="n">
        <x:v>1663.4</x:v>
      </x:c>
      <x:c r="K631" t="str">
        <x:f>XLOOKUP(B631,Orders!A:A,Orders!E:E,"")</x:f>
        <x:v>South</x:v>
      </x:c>
      <x:c r="L631" t="n">
        <x:f>XLOOKUP(B631,Orders!A:A,Orders!B:B,"")</x:f>
        <x:v>46060</x:v>
      </x:c>
      <x:c r="M631" t="str">
        <x:f>XLOOKUP(C631,Products!A:A,Products!C:C,"")</x:f>
        <x:v>Furniture</x:v>
      </x:c>
    </x:row>
    <x:row r="632">
      <x:c r="A632" s="15" t="str">
        <x:v>ITEM00267_3</x:v>
      </x:c>
      <x:c r="B632" s="15" t="str">
        <x:v>ORD00267</x:v>
      </x:c>
      <x:c r="C632" s="15" t="str">
        <x:v>PROD005</x:v>
      </x:c>
      <x:c r="D632" s="15" t="n">
        <x:v>5</x:v>
      </x:c>
      <x:c r="E632" s="15" t="n">
        <x:v>6453.62</x:v>
      </x:c>
      <x:c r="F632" s="15" t="n">
        <x:v>0.15</x:v>
      </x:c>
      <x:c r="G632" s="15" t="n">
        <x:v>32268.1</x:v>
      </x:c>
      <x:c r="H632" s="15" t="n">
        <x:v>27427.88</x:v>
      </x:c>
      <x:c r="I632" s="15" t="n">
        <x:v>24240</x:v>
      </x:c>
      <x:c r="J632" s="15" t="n">
        <x:v>3187.88</x:v>
      </x:c>
      <x:c r="K632" t="str">
        <x:f>XLOOKUP(B632,Orders!A:A,Orders!E:E,"")</x:f>
        <x:v>South</x:v>
      </x:c>
      <x:c r="L632" t="n">
        <x:f>XLOOKUP(B632,Orders!A:A,Orders!B:B,"")</x:f>
        <x:v>46060</x:v>
      </x:c>
      <x:c r="M632" t="str">
        <x:f>XLOOKUP(C632,Products!A:A,Products!C:C,"")</x:f>
        <x:v>Office Supplies</x:v>
      </x:c>
    </x:row>
    <x:row r="633">
      <x:c r="A633" s="15" t="str">
        <x:v>ITEM00268_1</x:v>
      </x:c>
      <x:c r="B633" s="15" t="str">
        <x:v>ORD00268</x:v>
      </x:c>
      <x:c r="C633" s="15" t="str">
        <x:v>PROD006</x:v>
      </x:c>
      <x:c r="D633" s="15" t="n">
        <x:v>1</x:v>
      </x:c>
      <x:c r="E633" s="15" t="n">
        <x:v>4261.26</x:v>
      </x:c>
      <x:c r="F633" s="15" t="n">
        <x:v>0.05</x:v>
      </x:c>
      <x:c r="G633" s="15" t="n">
        <x:v>4261.26</x:v>
      </x:c>
      <x:c r="H633" s="15" t="n">
        <x:v>4048.2</x:v>
      </x:c>
      <x:c r="I633" s="15" t="n">
        <x:v>3067</x:v>
      </x:c>
      <x:c r="J633" s="15" t="n">
        <x:v>981.2</x:v>
      </x:c>
      <x:c r="K633" t="str">
        <x:f>XLOOKUP(B633,Orders!A:A,Orders!E:E,"")</x:f>
        <x:v>North</x:v>
      </x:c>
      <x:c r="L633" t="n">
        <x:f>XLOOKUP(B633,Orders!A:A,Orders!B:B,"")</x:f>
        <x:v>46092</x:v>
      </x:c>
      <x:c r="M633" t="str">
        <x:f>XLOOKUP(C633,Products!A:A,Products!C:C,"")</x:f>
        <x:v>Office Supplies</x:v>
      </x:c>
    </x:row>
    <x:row r="634">
      <x:c r="A634" s="15" t="str">
        <x:v>ITEM00268_2</x:v>
      </x:c>
      <x:c r="B634" s="15" t="str">
        <x:v>ORD00268</x:v>
      </x:c>
      <x:c r="C634" s="15" t="str">
        <x:v>PROD040</x:v>
      </x:c>
      <x:c r="D634" s="15" t="n">
        <x:v>1</x:v>
      </x:c>
      <x:c r="E634" s="15" t="n">
        <x:v>8561.07</x:v>
      </x:c>
      <x:c r="F634" s="15" t="n">
        <x:v>0.1</x:v>
      </x:c>
      <x:c r="G634" s="15" t="n">
        <x:v>8561.07</x:v>
      </x:c>
      <x:c r="H634" s="15" t="n">
        <x:v>7704.96</x:v>
      </x:c>
      <x:c r="I634" s="15" t="n">
        <x:v>6841</x:v>
      </x:c>
      <x:c r="J634" s="15" t="n">
        <x:v>863.96</x:v>
      </x:c>
      <x:c r="K634" t="str">
        <x:f>XLOOKUP(B634,Orders!A:A,Orders!E:E,"")</x:f>
        <x:v>North</x:v>
      </x:c>
      <x:c r="L634" t="n">
        <x:f>XLOOKUP(B634,Orders!A:A,Orders!B:B,"")</x:f>
        <x:v>46092</x:v>
      </x:c>
      <x:c r="M634" t="str">
        <x:f>XLOOKUP(C634,Products!A:A,Products!C:C,"")</x:f>
        <x:v>Electronics</x:v>
      </x:c>
    </x:row>
    <x:row r="635">
      <x:c r="A635" s="15" t="str">
        <x:v>ITEM00269_1</x:v>
      </x:c>
      <x:c r="B635" s="15" t="str">
        <x:v>ORD00269</x:v>
      </x:c>
      <x:c r="C635" s="15" t="str">
        <x:v>PROD035</x:v>
      </x:c>
      <x:c r="D635" s="15" t="n">
        <x:v>8</x:v>
      </x:c>
      <x:c r="E635" s="15" t="n">
        <x:v>3972.26</x:v>
      </x:c>
      <x:c r="F635" s="15" t="n">
        <x:v>0.15</x:v>
      </x:c>
      <x:c r="G635" s="15" t="n">
        <x:v>31778.08</x:v>
      </x:c>
      <x:c r="H635" s="15" t="n">
        <x:v>27011.37</x:v>
      </x:c>
      <x:c r="I635" s="15" t="n">
        <x:v>25496</x:v>
      </x:c>
      <x:c r="J635" s="15" t="n">
        <x:v>1515.37</x:v>
      </x:c>
      <x:c r="K635" t="str">
        <x:f>XLOOKUP(B635,Orders!A:A,Orders!E:E,"")</x:f>
        <x:v>North</x:v>
      </x:c>
      <x:c r="L635" t="n">
        <x:f>XLOOKUP(B635,Orders!A:A,Orders!B:B,"")</x:f>
        <x:v>45675</x:v>
      </x:c>
      <x:c r="M635" t="str">
        <x:f>XLOOKUP(C635,Products!A:A,Products!C:C,"")</x:f>
        <x:v>Electronics</x:v>
      </x:c>
    </x:row>
    <x:row r="636">
      <x:c r="A636" s="15" t="str">
        <x:v>ITEM00269_2</x:v>
      </x:c>
      <x:c r="B636" s="15" t="str">
        <x:v>ORD00269</x:v>
      </x:c>
      <x:c r="C636" s="15" t="str">
        <x:v>PROD015</x:v>
      </x:c>
      <x:c r="D636" s="15" t="n">
        <x:v>1</x:v>
      </x:c>
      <x:c r="E636" s="15" t="n">
        <x:v>5903.1</x:v>
      </x:c>
      <x:c r="F636" s="15" t="n">
        <x:v>0</x:v>
      </x:c>
      <x:c r="G636" s="15" t="n">
        <x:v>5903.1</x:v>
      </x:c>
      <x:c r="H636" s="15" t="n">
        <x:v>5903.1</x:v>
      </x:c>
      <x:c r="I636" s="15" t="n">
        <x:v>4785</x:v>
      </x:c>
      <x:c r="J636" s="15" t="n">
        <x:v>1118.1</x:v>
      </x:c>
      <x:c r="K636" t="str">
        <x:f>XLOOKUP(B636,Orders!A:A,Orders!E:E,"")</x:f>
        <x:v>North</x:v>
      </x:c>
      <x:c r="L636" t="n">
        <x:f>XLOOKUP(B636,Orders!A:A,Orders!B:B,"")</x:f>
        <x:v>45675</x:v>
      </x:c>
      <x:c r="M636" t="str">
        <x:f>XLOOKUP(C636,Products!A:A,Products!C:C,"")</x:f>
        <x:v>Electronics</x:v>
      </x:c>
    </x:row>
    <x:row r="637">
      <x:c r="A637" s="15" t="str">
        <x:v>ITEM00270_1</x:v>
      </x:c>
      <x:c r="B637" s="15" t="str">
        <x:v>ORD00270</x:v>
      </x:c>
      <x:c r="C637" s="15" t="str">
        <x:v>PROD018</x:v>
      </x:c>
      <x:c r="D637" s="15" t="n">
        <x:v>3</x:v>
      </x:c>
      <x:c r="E637" s="15" t="n">
        <x:v>5637.8</x:v>
      </x:c>
      <x:c r="F637" s="15" t="n">
        <x:v>0.15</x:v>
      </x:c>
      <x:c r="G637" s="15" t="n">
        <x:v>16913.4</x:v>
      </x:c>
      <x:c r="H637" s="15" t="n">
        <x:v>14376.39</x:v>
      </x:c>
      <x:c r="I637" s="15" t="n">
        <x:v>12633</x:v>
      </x:c>
      <x:c r="J637" s="15" t="n">
        <x:v>1743.39</x:v>
      </x:c>
      <x:c r="K637" t="str">
        <x:f>XLOOKUP(B637,Orders!A:A,Orders!E:E,"")</x:f>
        <x:v>East</x:v>
      </x:c>
      <x:c r="L637" t="n">
        <x:f>XLOOKUP(B637,Orders!A:A,Orders!B:B,"")</x:f>
        <x:v>45822</x:v>
      </x:c>
      <x:c r="M637" t="str">
        <x:f>XLOOKUP(C637,Products!A:A,Products!C:C,"")</x:f>
        <x:v>Electronics</x:v>
      </x:c>
    </x:row>
    <x:row r="638">
      <x:c r="A638" s="15" t="str">
        <x:v>ITEM00270_2</x:v>
      </x:c>
      <x:c r="B638" s="15" t="str">
        <x:v>ORD00270</x:v>
      </x:c>
      <x:c r="C638" s="15" t="str">
        <x:v>PROD019</x:v>
      </x:c>
      <x:c r="D638" s="15" t="n">
        <x:v>5</x:v>
      </x:c>
      <x:c r="E638" s="15" t="n">
        <x:v>5996.29</x:v>
      </x:c>
      <x:c r="F638" s="15" t="n">
        <x:v>0.05</x:v>
      </x:c>
      <x:c r="G638" s="15" t="n">
        <x:v>29981.45</x:v>
      </x:c>
      <x:c r="H638" s="15" t="n">
        <x:v>28482.38</x:v>
      </x:c>
      <x:c r="I638" s="15" t="n">
        <x:v>22550</x:v>
      </x:c>
      <x:c r="J638" s="15" t="n">
        <x:v>5932.38</x:v>
      </x:c>
      <x:c r="K638" t="str">
        <x:f>XLOOKUP(B638,Orders!A:A,Orders!E:E,"")</x:f>
        <x:v>East</x:v>
      </x:c>
      <x:c r="L638" t="n">
        <x:f>XLOOKUP(B638,Orders!A:A,Orders!B:B,"")</x:f>
        <x:v>45822</x:v>
      </x:c>
      <x:c r="M638" t="str">
        <x:f>XLOOKUP(C638,Products!A:A,Products!C:C,"")</x:f>
        <x:v>Electronics</x:v>
      </x:c>
    </x:row>
    <x:row r="639">
      <x:c r="A639" s="15" t="str">
        <x:v>ITEM00270_3</x:v>
      </x:c>
      <x:c r="B639" s="15" t="str">
        <x:v>ORD00270</x:v>
      </x:c>
      <x:c r="C639" s="15" t="str">
        <x:v>PROD012</x:v>
      </x:c>
      <x:c r="D639" s="15" t="n">
        <x:v>4</x:v>
      </x:c>
      <x:c r="E639" s="15" t="n">
        <x:v>7989.38</x:v>
      </x:c>
      <x:c r="F639" s="15" t="n">
        <x:v>0.05</x:v>
      </x:c>
      <x:c r="G639" s="15" t="n">
        <x:v>31957.52</x:v>
      </x:c>
      <x:c r="H639" s="15" t="n">
        <x:v>30359.64</x:v>
      </x:c>
      <x:c r="I639" s="15" t="n">
        <x:v>25940</x:v>
      </x:c>
      <x:c r="J639" s="15" t="n">
        <x:v>4419.64</x:v>
      </x:c>
      <x:c r="K639" t="str">
        <x:f>XLOOKUP(B639,Orders!A:A,Orders!E:E,"")</x:f>
        <x:v>East</x:v>
      </x:c>
      <x:c r="L639" t="n">
        <x:f>XLOOKUP(B639,Orders!A:A,Orders!B:B,"")</x:f>
        <x:v>45822</x:v>
      </x:c>
      <x:c r="M639" t="str">
        <x:f>XLOOKUP(C639,Products!A:A,Products!C:C,"")</x:f>
        <x:v>Electronics</x:v>
      </x:c>
    </x:row>
    <x:row r="640">
      <x:c r="A640" s="15" t="str">
        <x:v>ITEM00271_1</x:v>
      </x:c>
      <x:c r="B640" s="15" t="str">
        <x:v>ORD00271</x:v>
      </x:c>
      <x:c r="C640" s="15" t="str">
        <x:v>PROD031</x:v>
      </x:c>
      <x:c r="D640" s="15" t="n">
        <x:v>8</x:v>
      </x:c>
      <x:c r="E640" s="15" t="n">
        <x:v>3371.81</x:v>
      </x:c>
      <x:c r="F640" s="15" t="n">
        <x:v>0.15</x:v>
      </x:c>
      <x:c r="G640" s="15" t="n">
        <x:v>26974.48</x:v>
      </x:c>
      <x:c r="H640" s="15" t="n">
        <x:v>22928.31</x:v>
      </x:c>
      <x:c r="I640" s="15" t="n">
        <x:v>22376</x:v>
      </x:c>
      <x:c r="J640" s="15" t="n">
        <x:v>552.31</x:v>
      </x:c>
      <x:c r="K640" t="str">
        <x:f>XLOOKUP(B640,Orders!A:A,Orders!E:E,"")</x:f>
        <x:v>West</x:v>
      </x:c>
      <x:c r="L640" t="n">
        <x:f>XLOOKUP(B640,Orders!A:A,Orders!B:B,"")</x:f>
        <x:v>45686</x:v>
      </x:c>
      <x:c r="M640" t="str">
        <x:f>XLOOKUP(C640,Products!A:A,Products!C:C,"")</x:f>
        <x:v>Furniture</x:v>
      </x:c>
    </x:row>
    <x:row r="641">
      <x:c r="A641" s="15" t="str">
        <x:v>ITEM00271_2</x:v>
      </x:c>
      <x:c r="B641" s="15" t="str">
        <x:v>ORD00271</x:v>
      </x:c>
      <x:c r="C641" s="15" t="str">
        <x:v>PROD014</x:v>
      </x:c>
      <x:c r="D641" s="15" t="n">
        <x:v>2</x:v>
      </x:c>
      <x:c r="E641" s="15" t="n">
        <x:v>1611.65</x:v>
      </x:c>
      <x:c r="F641" s="15" t="n">
        <x:v>0.05</x:v>
      </x:c>
      <x:c r="G641" s="15" t="n">
        <x:v>3223.3</x:v>
      </x:c>
      <x:c r="H641" s="15" t="n">
        <x:v>3062.14</x:v>
      </x:c>
      <x:c r="I641" s="15" t="n">
        <x:v>2466</x:v>
      </x:c>
      <x:c r="J641" s="15" t="n">
        <x:v>596.14</x:v>
      </x:c>
      <x:c r="K641" t="str">
        <x:f>XLOOKUP(B641,Orders!A:A,Orders!E:E,"")</x:f>
        <x:v>West</x:v>
      </x:c>
      <x:c r="L641" t="n">
        <x:f>XLOOKUP(B641,Orders!A:A,Orders!B:B,"")</x:f>
        <x:v>45686</x:v>
      </x:c>
      <x:c r="M641" t="str">
        <x:f>XLOOKUP(C641,Products!A:A,Products!C:C,"")</x:f>
        <x:v>Office Supplies</x:v>
      </x:c>
    </x:row>
    <x:row r="642">
      <x:c r="A642" s="15" t="str">
        <x:v>ITEM00271_3</x:v>
      </x:c>
      <x:c r="B642" s="15" t="str">
        <x:v>ORD00271</x:v>
      </x:c>
      <x:c r="C642" s="15" t="str">
        <x:v>PROD006</x:v>
      </x:c>
      <x:c r="D642" s="15" t="n">
        <x:v>6</x:v>
      </x:c>
      <x:c r="E642" s="15" t="n">
        <x:v>4261.26</x:v>
      </x:c>
      <x:c r="F642" s="15" t="n">
        <x:v>0.05</x:v>
      </x:c>
      <x:c r="G642" s="15" t="n">
        <x:v>25567.56</x:v>
      </x:c>
      <x:c r="H642" s="15" t="n">
        <x:v>24289.18</x:v>
      </x:c>
      <x:c r="I642" s="15" t="n">
        <x:v>18402</x:v>
      </x:c>
      <x:c r="J642" s="15" t="n">
        <x:v>5887.18</x:v>
      </x:c>
      <x:c r="K642" t="str">
        <x:f>XLOOKUP(B642,Orders!A:A,Orders!E:E,"")</x:f>
        <x:v>West</x:v>
      </x:c>
      <x:c r="L642" t="n">
        <x:f>XLOOKUP(B642,Orders!A:A,Orders!B:B,"")</x:f>
        <x:v>45686</x:v>
      </x:c>
      <x:c r="M642" t="str">
        <x:f>XLOOKUP(C642,Products!A:A,Products!C:C,"")</x:f>
        <x:v>Office Supplies</x:v>
      </x:c>
    </x:row>
    <x:row r="643">
      <x:c r="A643" s="15" t="str">
        <x:v>ITEM00271_4</x:v>
      </x:c>
      <x:c r="B643" s="15" t="str">
        <x:v>ORD00271</x:v>
      </x:c>
      <x:c r="C643" s="15" t="str">
        <x:v>PROD027</x:v>
      </x:c>
      <x:c r="D643" s="15" t="n">
        <x:v>1</x:v>
      </x:c>
      <x:c r="E643" s="15" t="n">
        <x:v>6979.71</x:v>
      </x:c>
      <x:c r="F643" s="15" t="n">
        <x:v>0.1</x:v>
      </x:c>
      <x:c r="G643" s="15" t="n">
        <x:v>6979.71</x:v>
      </x:c>
      <x:c r="H643" s="15" t="n">
        <x:v>6281.74</x:v>
      </x:c>
      <x:c r="I643" s="15" t="n">
        <x:v>5637</x:v>
      </x:c>
      <x:c r="J643" s="15" t="n">
        <x:v>644.74</x:v>
      </x:c>
      <x:c r="K643" t="str">
        <x:f>XLOOKUP(B643,Orders!A:A,Orders!E:E,"")</x:f>
        <x:v>West</x:v>
      </x:c>
      <x:c r="L643" t="n">
        <x:f>XLOOKUP(B643,Orders!A:A,Orders!B:B,"")</x:f>
        <x:v>45686</x:v>
      </x:c>
      <x:c r="M643" t="str">
        <x:f>XLOOKUP(C643,Products!A:A,Products!C:C,"")</x:f>
        <x:v>Electronics</x:v>
      </x:c>
    </x:row>
    <x:row r="644">
      <x:c r="A644" s="15" t="str">
        <x:v>ITEM00272_1</x:v>
      </x:c>
      <x:c r="B644" s="15" t="str">
        <x:v>ORD00272</x:v>
      </x:c>
      <x:c r="C644" s="15" t="str">
        <x:v>PROD018</x:v>
      </x:c>
      <x:c r="D644" s="15" t="n">
        <x:v>2</x:v>
      </x:c>
      <x:c r="E644" s="15" t="n">
        <x:v>5637.8</x:v>
      </x:c>
      <x:c r="F644" s="15" t="n">
        <x:v>0</x:v>
      </x:c>
      <x:c r="G644" s="15" t="n">
        <x:v>11275.6</x:v>
      </x:c>
      <x:c r="H644" s="15" t="n">
        <x:v>11275.6</x:v>
      </x:c>
      <x:c r="I644" s="15" t="n">
        <x:v>8422</x:v>
      </x:c>
      <x:c r="J644" s="15" t="n">
        <x:v>2853.6</x:v>
      </x:c>
      <x:c r="K644" t="str">
        <x:f>XLOOKUP(B644,Orders!A:A,Orders!E:E,"")</x:f>
        <x:v>East</x:v>
      </x:c>
      <x:c r="L644" t="n">
        <x:f>XLOOKUP(B644,Orders!A:A,Orders!B:B,"")</x:f>
        <x:v>45968</x:v>
      </x:c>
      <x:c r="M644" t="str">
        <x:f>XLOOKUP(C644,Products!A:A,Products!C:C,"")</x:f>
        <x:v>Electronics</x:v>
      </x:c>
    </x:row>
    <x:row r="645">
      <x:c r="A645" s="15" t="str">
        <x:v>ITEM00272_2</x:v>
      </x:c>
      <x:c r="B645" s="15" t="str">
        <x:v>ORD00272</x:v>
      </x:c>
      <x:c r="C645" s="15" t="str">
        <x:v>PROD029</x:v>
      </x:c>
      <x:c r="D645" s="15" t="n">
        <x:v>6</x:v>
      </x:c>
      <x:c r="E645" s="15" t="n">
        <x:v>8430.77</x:v>
      </x:c>
      <x:c r="F645" s="15" t="n">
        <x:v>0</x:v>
      </x:c>
      <x:c r="G645" s="15" t="n">
        <x:v>50584.62</x:v>
      </x:c>
      <x:c r="H645" s="15" t="n">
        <x:v>50584.62</x:v>
      </x:c>
      <x:c r="I645" s="15" t="n">
        <x:v>37110</x:v>
      </x:c>
      <x:c r="J645" s="15" t="n">
        <x:v>13474.62</x:v>
      </x:c>
      <x:c r="K645" t="str">
        <x:f>XLOOKUP(B645,Orders!A:A,Orders!E:E,"")</x:f>
        <x:v>East</x:v>
      </x:c>
      <x:c r="L645" t="n">
        <x:f>XLOOKUP(B645,Orders!A:A,Orders!B:B,"")</x:f>
        <x:v>45968</x:v>
      </x:c>
      <x:c r="M645" t="str">
        <x:f>XLOOKUP(C645,Products!A:A,Products!C:C,"")</x:f>
        <x:v>Office Supplies</x:v>
      </x:c>
    </x:row>
    <x:row r="646">
      <x:c r="A646" s="15" t="str">
        <x:v>ITEM00272_3</x:v>
      </x:c>
      <x:c r="B646" s="15" t="str">
        <x:v>ORD00272</x:v>
      </x:c>
      <x:c r="C646" s="15" t="str">
        <x:v>PROD010</x:v>
      </x:c>
      <x:c r="D646" s="15" t="n">
        <x:v>8</x:v>
      </x:c>
      <x:c r="E646" s="15" t="n">
        <x:v>8670.63</x:v>
      </x:c>
      <x:c r="F646" s="15" t="n">
        <x:v>0.1</x:v>
      </x:c>
      <x:c r="G646" s="15" t="n">
        <x:v>69365.04</x:v>
      </x:c>
      <x:c r="H646" s="15" t="n">
        <x:v>62428.54</x:v>
      </x:c>
      <x:c r="I646" s="15" t="n">
        <x:v>46824</x:v>
      </x:c>
      <x:c r="J646" s="15" t="n">
        <x:v>15604.54</x:v>
      </x:c>
      <x:c r="K646" t="str">
        <x:f>XLOOKUP(B646,Orders!A:A,Orders!E:E,"")</x:f>
        <x:v>East</x:v>
      </x:c>
      <x:c r="L646" t="n">
        <x:f>XLOOKUP(B646,Orders!A:A,Orders!B:B,"")</x:f>
        <x:v>45968</x:v>
      </x:c>
      <x:c r="M646" t="str">
        <x:f>XLOOKUP(C646,Products!A:A,Products!C:C,"")</x:f>
        <x:v>Accessories</x:v>
      </x:c>
    </x:row>
    <x:row r="647">
      <x:c r="A647" s="15" t="str">
        <x:v>ITEM00273_1</x:v>
      </x:c>
      <x:c r="B647" s="15" t="str">
        <x:v>ORD00273</x:v>
      </x:c>
      <x:c r="C647" s="15" t="str">
        <x:v>PROD011</x:v>
      </x:c>
      <x:c r="D647" s="15" t="n">
        <x:v>7</x:v>
      </x:c>
      <x:c r="E647" s="15" t="n">
        <x:v>7135.27</x:v>
      </x:c>
      <x:c r="F647" s="15" t="n">
        <x:v>0</x:v>
      </x:c>
      <x:c r="G647" s="15" t="n">
        <x:v>49946.89</x:v>
      </x:c>
      <x:c r="H647" s="15" t="n">
        <x:v>49946.89</x:v>
      </x:c>
      <x:c r="I647" s="15" t="n">
        <x:v>36421</x:v>
      </x:c>
      <x:c r="J647" s="15" t="n">
        <x:v>13525.89</x:v>
      </x:c>
      <x:c r="K647" t="str">
        <x:f>XLOOKUP(B647,Orders!A:A,Orders!E:E,"")</x:f>
        <x:v>West</x:v>
      </x:c>
      <x:c r="L647" t="n">
        <x:f>XLOOKUP(B647,Orders!A:A,Orders!B:B,"")</x:f>
        <x:v>46057</x:v>
      </x:c>
      <x:c r="M647" t="str">
        <x:f>XLOOKUP(C647,Products!A:A,Products!C:C,"")</x:f>
        <x:v>Accessories</x:v>
      </x:c>
    </x:row>
    <x:row r="648">
      <x:c r="A648" s="15" t="str">
        <x:v>ITEM00274_1</x:v>
      </x:c>
      <x:c r="B648" s="15" t="str">
        <x:v>ORD00274</x:v>
      </x:c>
      <x:c r="C648" s="15" t="str">
        <x:v>PROD025</x:v>
      </x:c>
      <x:c r="D648" s="15" t="n">
        <x:v>1</x:v>
      </x:c>
      <x:c r="E648" s="15" t="n">
        <x:v>1148.84</x:v>
      </x:c>
      <x:c r="F648" s="15" t="n">
        <x:v>0.1</x:v>
      </x:c>
      <x:c r="G648" s="15" t="n">
        <x:v>1148.84</x:v>
      </x:c>
      <x:c r="H648" s="15" t="n">
        <x:v>1033.96</x:v>
      </x:c>
      <x:c r="I648" s="15" t="n">
        <x:v>878</x:v>
      </x:c>
      <x:c r="J648" s="15" t="n">
        <x:v>155.96</x:v>
      </x:c>
      <x:c r="K648" t="str">
        <x:f>XLOOKUP(B648,Orders!A:A,Orders!E:E,"")</x:f>
        <x:v>North</x:v>
      </x:c>
      <x:c r="L648" t="n">
        <x:f>XLOOKUP(B648,Orders!A:A,Orders!B:B,"")</x:f>
        <x:v>45759</x:v>
      </x:c>
      <x:c r="M648" t="str">
        <x:f>XLOOKUP(C648,Products!A:A,Products!C:C,"")</x:f>
        <x:v>Furniture</x:v>
      </x:c>
    </x:row>
    <x:row r="649">
      <x:c r="A649" s="15" t="str">
        <x:v>ITEM00274_2</x:v>
      </x:c>
      <x:c r="B649" s="15" t="str">
        <x:v>ORD00274</x:v>
      </x:c>
      <x:c r="C649" s="15" t="str">
        <x:v>PROD033</x:v>
      </x:c>
      <x:c r="D649" s="15" t="n">
        <x:v>1</x:v>
      </x:c>
      <x:c r="E649" s="15" t="n">
        <x:v>3912.41</x:v>
      </x:c>
      <x:c r="F649" s="15" t="n">
        <x:v>0.1</x:v>
      </x:c>
      <x:c r="G649" s="15" t="n">
        <x:v>3912.41</x:v>
      </x:c>
      <x:c r="H649" s="15" t="n">
        <x:v>3521.17</x:v>
      </x:c>
      <x:c r="I649" s="15" t="n">
        <x:v>2991</x:v>
      </x:c>
      <x:c r="J649" s="15" t="n">
        <x:v>530.17</x:v>
      </x:c>
      <x:c r="K649" t="str">
        <x:f>XLOOKUP(B649,Orders!A:A,Orders!E:E,"")</x:f>
        <x:v>North</x:v>
      </x:c>
      <x:c r="L649" t="n">
        <x:f>XLOOKUP(B649,Orders!A:A,Orders!B:B,"")</x:f>
        <x:v>45759</x:v>
      </x:c>
      <x:c r="M649" t="str">
        <x:f>XLOOKUP(C649,Products!A:A,Products!C:C,"")</x:f>
        <x:v>Furniture</x:v>
      </x:c>
    </x:row>
    <x:row r="650">
      <x:c r="A650" s="15" t="str">
        <x:v>ITEM00274_3</x:v>
      </x:c>
      <x:c r="B650" s="15" t="str">
        <x:v>ORD00274</x:v>
      </x:c>
      <x:c r="C650" s="15" t="str">
        <x:v>PROD025</x:v>
      </x:c>
      <x:c r="D650" s="15" t="n">
        <x:v>5</x:v>
      </x:c>
      <x:c r="E650" s="15" t="n">
        <x:v>1148.84</x:v>
      </x:c>
      <x:c r="F650" s="15" t="n">
        <x:v>0.15</x:v>
      </x:c>
      <x:c r="G650" s="15" t="n">
        <x:v>5744.2</x:v>
      </x:c>
      <x:c r="H650" s="15" t="n">
        <x:v>4882.57</x:v>
      </x:c>
      <x:c r="I650" s="15" t="n">
        <x:v>4390</x:v>
      </x:c>
      <x:c r="J650" s="15" t="n">
        <x:v>492.57</x:v>
      </x:c>
      <x:c r="K650" t="str">
        <x:f>XLOOKUP(B650,Orders!A:A,Orders!E:E,"")</x:f>
        <x:v>North</x:v>
      </x:c>
      <x:c r="L650" t="n">
        <x:f>XLOOKUP(B650,Orders!A:A,Orders!B:B,"")</x:f>
        <x:v>45759</x:v>
      </x:c>
      <x:c r="M650" t="str">
        <x:f>XLOOKUP(C650,Products!A:A,Products!C:C,"")</x:f>
        <x:v>Furniture</x:v>
      </x:c>
    </x:row>
    <x:row r="651">
      <x:c r="A651" s="15" t="str">
        <x:v>ITEM00275_1</x:v>
      </x:c>
      <x:c r="B651" s="15" t="str">
        <x:v>ORD00275</x:v>
      </x:c>
      <x:c r="C651" s="15" t="str">
        <x:v>PROD037</x:v>
      </x:c>
      <x:c r="D651" s="15" t="n">
        <x:v>1</x:v>
      </x:c>
      <x:c r="E651" s="15" t="n">
        <x:v>9876.8</x:v>
      </x:c>
      <x:c r="F651" s="15" t="n">
        <x:v>0</x:v>
      </x:c>
      <x:c r="G651" s="15" t="n">
        <x:v>9876.8</x:v>
      </x:c>
      <x:c r="H651" s="15" t="n">
        <x:v>9876.8</x:v>
      </x:c>
      <x:c r="I651" s="15" t="n">
        <x:v>7124</x:v>
      </x:c>
      <x:c r="J651" s="15" t="n">
        <x:v>2752.8</x:v>
      </x:c>
      <x:c r="K651" t="str">
        <x:f>XLOOKUP(B651,Orders!A:A,Orders!E:E,"")</x:f>
        <x:v>North</x:v>
      </x:c>
      <x:c r="L651" t="n">
        <x:f>XLOOKUP(B651,Orders!A:A,Orders!B:B,"")</x:f>
        <x:v>46004</x:v>
      </x:c>
      <x:c r="M651" t="str">
        <x:f>XLOOKUP(C651,Products!A:A,Products!C:C,"")</x:f>
        <x:v>Accessories</x:v>
      </x:c>
    </x:row>
    <x:row r="652">
      <x:c r="A652" s="15" t="str">
        <x:v>ITEM00275_2</x:v>
      </x:c>
      <x:c r="B652" s="15" t="str">
        <x:v>ORD00275</x:v>
      </x:c>
      <x:c r="C652" s="15" t="str">
        <x:v>PROD029</x:v>
      </x:c>
      <x:c r="D652" s="15" t="n">
        <x:v>8</x:v>
      </x:c>
      <x:c r="E652" s="15" t="n">
        <x:v>8430.77</x:v>
      </x:c>
      <x:c r="F652" s="15" t="n">
        <x:v>0.1</x:v>
      </x:c>
      <x:c r="G652" s="15" t="n">
        <x:v>67446.16</x:v>
      </x:c>
      <x:c r="H652" s="15" t="n">
        <x:v>60701.54</x:v>
      </x:c>
      <x:c r="I652" s="15" t="n">
        <x:v>49480</x:v>
      </x:c>
      <x:c r="J652" s="15" t="n">
        <x:v>11221.54</x:v>
      </x:c>
      <x:c r="K652" t="str">
        <x:f>XLOOKUP(B652,Orders!A:A,Orders!E:E,"")</x:f>
        <x:v>North</x:v>
      </x:c>
      <x:c r="L652" t="n">
        <x:f>XLOOKUP(B652,Orders!A:A,Orders!B:B,"")</x:f>
        <x:v>46004</x:v>
      </x:c>
      <x:c r="M652" t="str">
        <x:f>XLOOKUP(C652,Products!A:A,Products!C:C,"")</x:f>
        <x:v>Office Supplies</x:v>
      </x:c>
    </x:row>
    <x:row r="653">
      <x:c r="A653" s="15" t="str">
        <x:v>ITEM00275_3</x:v>
      </x:c>
      <x:c r="B653" s="15" t="str">
        <x:v>ORD00275</x:v>
      </x:c>
      <x:c r="C653" s="15" t="str">
        <x:v>PROD023</x:v>
      </x:c>
      <x:c r="D653" s="15" t="n">
        <x:v>6</x:v>
      </x:c>
      <x:c r="E653" s="15" t="n">
        <x:v>5153.56</x:v>
      </x:c>
      <x:c r="F653" s="15" t="n">
        <x:v>0.15</x:v>
      </x:c>
      <x:c r="G653" s="15" t="n">
        <x:v>30921.36</x:v>
      </x:c>
      <x:c r="H653" s="15" t="n">
        <x:v>26283.16</x:v>
      </x:c>
      <x:c r="I653" s="15" t="n">
        <x:v>23748</x:v>
      </x:c>
      <x:c r="J653" s="15" t="n">
        <x:v>2535.16</x:v>
      </x:c>
      <x:c r="K653" t="str">
        <x:f>XLOOKUP(B653,Orders!A:A,Orders!E:E,"")</x:f>
        <x:v>North</x:v>
      </x:c>
      <x:c r="L653" t="n">
        <x:f>XLOOKUP(B653,Orders!A:A,Orders!B:B,"")</x:f>
        <x:v>46004</x:v>
      </x:c>
      <x:c r="M653" t="str">
        <x:f>XLOOKUP(C653,Products!A:A,Products!C:C,"")</x:f>
        <x:v>Electronics</x:v>
      </x:c>
    </x:row>
    <x:row r="654">
      <x:c r="A654" s="15" t="str">
        <x:v>ITEM00276_1</x:v>
      </x:c>
      <x:c r="B654" s="15" t="str">
        <x:v>ORD00276</x:v>
      </x:c>
      <x:c r="C654" s="15" t="str">
        <x:v>PROD023</x:v>
      </x:c>
      <x:c r="D654" s="15" t="n">
        <x:v>3</x:v>
      </x:c>
      <x:c r="E654" s="15" t="n">
        <x:v>5153.56</x:v>
      </x:c>
      <x:c r="F654" s="15" t="n">
        <x:v>0.1</x:v>
      </x:c>
      <x:c r="G654" s="15" t="n">
        <x:v>15460.68</x:v>
      </x:c>
      <x:c r="H654" s="15" t="n">
        <x:v>13914.61</x:v>
      </x:c>
      <x:c r="I654" s="15" t="n">
        <x:v>11874</x:v>
      </x:c>
      <x:c r="J654" s="15" t="n">
        <x:v>2040.61</x:v>
      </x:c>
      <x:c r="K654" t="str">
        <x:f>XLOOKUP(B654,Orders!A:A,Orders!E:E,"")</x:f>
        <x:v>East</x:v>
      </x:c>
      <x:c r="L654" t="n">
        <x:f>XLOOKUP(B654,Orders!A:A,Orders!B:B,"")</x:f>
        <x:v>45854</x:v>
      </x:c>
      <x:c r="M654" t="str">
        <x:f>XLOOKUP(C654,Products!A:A,Products!C:C,"")</x:f>
        <x:v>Electronics</x:v>
      </x:c>
    </x:row>
    <x:row r="655">
      <x:c r="A655" s="15" t="str">
        <x:v>ITEM00277_1</x:v>
      </x:c>
      <x:c r="B655" s="15" t="str">
        <x:v>ORD00277</x:v>
      </x:c>
      <x:c r="C655" s="15" t="str">
        <x:v>PROD014</x:v>
      </x:c>
      <x:c r="D655" s="15" t="n">
        <x:v>4</x:v>
      </x:c>
      <x:c r="E655" s="15" t="n">
        <x:v>1611.65</x:v>
      </x:c>
      <x:c r="F655" s="15" t="n">
        <x:v>0</x:v>
      </x:c>
      <x:c r="G655" s="15" t="n">
        <x:v>6446.6</x:v>
      </x:c>
      <x:c r="H655" s="15" t="n">
        <x:v>6446.6</x:v>
      </x:c>
      <x:c r="I655" s="15" t="n">
        <x:v>4932</x:v>
      </x:c>
      <x:c r="J655" s="15" t="n">
        <x:v>1514.6</x:v>
      </x:c>
      <x:c r="K655" t="str">
        <x:f>XLOOKUP(B655,Orders!A:A,Orders!E:E,"")</x:f>
        <x:v>North</x:v>
      </x:c>
      <x:c r="L655" t="n">
        <x:f>XLOOKUP(B655,Orders!A:A,Orders!B:B,"")</x:f>
        <x:v>45925</x:v>
      </x:c>
      <x:c r="M655" t="str">
        <x:f>XLOOKUP(C655,Products!A:A,Products!C:C,"")</x:f>
        <x:v>Office Supplies</x:v>
      </x:c>
    </x:row>
    <x:row r="656">
      <x:c r="A656" s="15" t="str">
        <x:v>ITEM00277_2</x:v>
      </x:c>
      <x:c r="B656" s="15" t="str">
        <x:v>ORD00277</x:v>
      </x:c>
      <x:c r="C656" s="15" t="str">
        <x:v>PROD031</x:v>
      </x:c>
      <x:c r="D656" s="15" t="n">
        <x:v>2</x:v>
      </x:c>
      <x:c r="E656" s="15" t="n">
        <x:v>3371.81</x:v>
      </x:c>
      <x:c r="F656" s="15" t="n">
        <x:v>0</x:v>
      </x:c>
      <x:c r="G656" s="15" t="n">
        <x:v>6743.62</x:v>
      </x:c>
      <x:c r="H656" s="15" t="n">
        <x:v>6743.62</x:v>
      </x:c>
      <x:c r="I656" s="15" t="n">
        <x:v>5594</x:v>
      </x:c>
      <x:c r="J656" s="15" t="n">
        <x:v>1149.62</x:v>
      </x:c>
      <x:c r="K656" t="str">
        <x:f>XLOOKUP(B656,Orders!A:A,Orders!E:E,"")</x:f>
        <x:v>North</x:v>
      </x:c>
      <x:c r="L656" t="n">
        <x:f>XLOOKUP(B656,Orders!A:A,Orders!B:B,"")</x:f>
        <x:v>45925</x:v>
      </x:c>
      <x:c r="M656" t="str">
        <x:f>XLOOKUP(C656,Products!A:A,Products!C:C,"")</x:f>
        <x:v>Furniture</x:v>
      </x:c>
    </x:row>
    <x:row r="657">
      <x:c r="A657" s="15" t="str">
        <x:v>ITEM00277_3</x:v>
      </x:c>
      <x:c r="B657" s="15" t="str">
        <x:v>ORD00277</x:v>
      </x:c>
      <x:c r="C657" s="15" t="str">
        <x:v>PROD007</x:v>
      </x:c>
      <x:c r="D657" s="15" t="n">
        <x:v>5</x:v>
      </x:c>
      <x:c r="E657" s="15" t="n">
        <x:v>5013.07</x:v>
      </x:c>
      <x:c r="F657" s="15" t="n">
        <x:v>0</x:v>
      </x:c>
      <x:c r="G657" s="15" t="n">
        <x:v>25065.35</x:v>
      </x:c>
      <x:c r="H657" s="15" t="n">
        <x:v>25065.35</x:v>
      </x:c>
      <x:c r="I657" s="15" t="n">
        <x:v>19705</x:v>
      </x:c>
      <x:c r="J657" s="15" t="n">
        <x:v>5360.35</x:v>
      </x:c>
      <x:c r="K657" t="str">
        <x:f>XLOOKUP(B657,Orders!A:A,Orders!E:E,"")</x:f>
        <x:v>North</x:v>
      </x:c>
      <x:c r="L657" t="n">
        <x:f>XLOOKUP(B657,Orders!A:A,Orders!B:B,"")</x:f>
        <x:v>45925</x:v>
      </x:c>
      <x:c r="M657" t="str">
        <x:f>XLOOKUP(C657,Products!A:A,Products!C:C,"")</x:f>
        <x:v>Electronics</x:v>
      </x:c>
    </x:row>
    <x:row r="658">
      <x:c r="A658" s="15" t="str">
        <x:v>ITEM00278_1</x:v>
      </x:c>
      <x:c r="B658" s="15" t="str">
        <x:v>ORD00278</x:v>
      </x:c>
      <x:c r="C658" s="15" t="str">
        <x:v>PROD029</x:v>
      </x:c>
      <x:c r="D658" s="15" t="n">
        <x:v>2</x:v>
      </x:c>
      <x:c r="E658" s="15" t="n">
        <x:v>8430.77</x:v>
      </x:c>
      <x:c r="F658" s="15" t="n">
        <x:v>0</x:v>
      </x:c>
      <x:c r="G658" s="15" t="n">
        <x:v>16861.54</x:v>
      </x:c>
      <x:c r="H658" s="15" t="n">
        <x:v>16861.54</x:v>
      </x:c>
      <x:c r="I658" s="15" t="n">
        <x:v>12370</x:v>
      </x:c>
      <x:c r="J658" s="15" t="n">
        <x:v>4491.54</x:v>
      </x:c>
      <x:c r="K658" t="str">
        <x:f>XLOOKUP(B658,Orders!A:A,Orders!E:E,"")</x:f>
        <x:v>West</x:v>
      </x:c>
      <x:c r="L658" t="n">
        <x:f>XLOOKUP(B658,Orders!A:A,Orders!B:B,"")</x:f>
        <x:v>45837</x:v>
      </x:c>
      <x:c r="M658" t="str">
        <x:f>XLOOKUP(C658,Products!A:A,Products!C:C,"")</x:f>
        <x:v>Office Supplies</x:v>
      </x:c>
    </x:row>
    <x:row r="659">
      <x:c r="A659" s="15" t="str">
        <x:v>ITEM00278_2</x:v>
      </x:c>
      <x:c r="B659" s="15" t="str">
        <x:v>ORD00278</x:v>
      </x:c>
      <x:c r="C659" s="15" t="str">
        <x:v>PROD016</x:v>
      </x:c>
      <x:c r="D659" s="15" t="n">
        <x:v>7</x:v>
      </x:c>
      <x:c r="E659" s="15" t="n">
        <x:v>3884.33</x:v>
      </x:c>
      <x:c r="F659" s="15" t="n">
        <x:v>0.15</x:v>
      </x:c>
      <x:c r="G659" s="15" t="n">
        <x:v>27190.31</x:v>
      </x:c>
      <x:c r="H659" s="15" t="n">
        <x:v>23111.76</x:v>
      </x:c>
      <x:c r="I659" s="15" t="n">
        <x:v>21329</x:v>
      </x:c>
      <x:c r="J659" s="15" t="n">
        <x:v>1782.76</x:v>
      </x:c>
      <x:c r="K659" t="str">
        <x:f>XLOOKUP(B659,Orders!A:A,Orders!E:E,"")</x:f>
        <x:v>West</x:v>
      </x:c>
      <x:c r="L659" t="n">
        <x:f>XLOOKUP(B659,Orders!A:A,Orders!B:B,"")</x:f>
        <x:v>45837</x:v>
      </x:c>
      <x:c r="M659" t="str">
        <x:f>XLOOKUP(C659,Products!A:A,Products!C:C,"")</x:f>
        <x:v>Electronics</x:v>
      </x:c>
    </x:row>
    <x:row r="660">
      <x:c r="A660" s="15" t="str">
        <x:v>ITEM00278_3</x:v>
      </x:c>
      <x:c r="B660" s="15" t="str">
        <x:v>ORD00278</x:v>
      </x:c>
      <x:c r="C660" s="15" t="str">
        <x:v>PROD028</x:v>
      </x:c>
      <x:c r="D660" s="15" t="n">
        <x:v>6</x:v>
      </x:c>
      <x:c r="E660" s="15" t="n">
        <x:v>4640.74</x:v>
      </x:c>
      <x:c r="F660" s="15" t="n">
        <x:v>0.05</x:v>
      </x:c>
      <x:c r="G660" s="15" t="n">
        <x:v>27844.44</x:v>
      </x:c>
      <x:c r="H660" s="15" t="n">
        <x:v>26452.22</x:v>
      </x:c>
      <x:c r="I660" s="15" t="n">
        <x:v>21204</x:v>
      </x:c>
      <x:c r="J660" s="15" t="n">
        <x:v>5248.22</x:v>
      </x:c>
      <x:c r="K660" t="str">
        <x:f>XLOOKUP(B660,Orders!A:A,Orders!E:E,"")</x:f>
        <x:v>West</x:v>
      </x:c>
      <x:c r="L660" t="n">
        <x:f>XLOOKUP(B660,Orders!A:A,Orders!B:B,"")</x:f>
        <x:v>45837</x:v>
      </x:c>
      <x:c r="M660" t="str">
        <x:f>XLOOKUP(C660,Products!A:A,Products!C:C,"")</x:f>
        <x:v>Office Supplies</x:v>
      </x:c>
    </x:row>
    <x:row r="661">
      <x:c r="A661" s="15" t="str">
        <x:v>ITEM00279_1</x:v>
      </x:c>
      <x:c r="B661" s="15" t="str">
        <x:v>ORD00279</x:v>
      </x:c>
      <x:c r="C661" s="15" t="str">
        <x:v>PROD037</x:v>
      </x:c>
      <x:c r="D661" s="15" t="n">
        <x:v>7</x:v>
      </x:c>
      <x:c r="E661" s="15" t="n">
        <x:v>9876.8</x:v>
      </x:c>
      <x:c r="F661" s="15" t="n">
        <x:v>0.1</x:v>
      </x:c>
      <x:c r="G661" s="15" t="n">
        <x:v>69137.6</x:v>
      </x:c>
      <x:c r="H661" s="15" t="n">
        <x:v>62223.84</x:v>
      </x:c>
      <x:c r="I661" s="15" t="n">
        <x:v>49868</x:v>
      </x:c>
      <x:c r="J661" s="15" t="n">
        <x:v>12355.84</x:v>
      </x:c>
      <x:c r="K661" t="str">
        <x:f>XLOOKUP(B661,Orders!A:A,Orders!E:E,"")</x:f>
        <x:v>East</x:v>
      </x:c>
      <x:c r="L661" t="n">
        <x:f>XLOOKUP(B661,Orders!A:A,Orders!B:B,"")</x:f>
        <x:v>45957</x:v>
      </x:c>
      <x:c r="M661" t="str">
        <x:f>XLOOKUP(C661,Products!A:A,Products!C:C,"")</x:f>
        <x:v>Accessories</x:v>
      </x:c>
    </x:row>
    <x:row r="662">
      <x:c r="A662" s="15" t="str">
        <x:v>ITEM00279_2</x:v>
      </x:c>
      <x:c r="B662" s="15" t="str">
        <x:v>ORD00279</x:v>
      </x:c>
      <x:c r="C662" s="15" t="str">
        <x:v>PROD025</x:v>
      </x:c>
      <x:c r="D662" s="15" t="n">
        <x:v>5</x:v>
      </x:c>
      <x:c r="E662" s="15" t="n">
        <x:v>1148.84</x:v>
      </x:c>
      <x:c r="F662" s="15" t="n">
        <x:v>0</x:v>
      </x:c>
      <x:c r="G662" s="15" t="n">
        <x:v>5744.2</x:v>
      </x:c>
      <x:c r="H662" s="15" t="n">
        <x:v>5744.2</x:v>
      </x:c>
      <x:c r="I662" s="15" t="n">
        <x:v>4390</x:v>
      </x:c>
      <x:c r="J662" s="15" t="n">
        <x:v>1354.2</x:v>
      </x:c>
      <x:c r="K662" t="str">
        <x:f>XLOOKUP(B662,Orders!A:A,Orders!E:E,"")</x:f>
        <x:v>East</x:v>
      </x:c>
      <x:c r="L662" t="n">
        <x:f>XLOOKUP(B662,Orders!A:A,Orders!B:B,"")</x:f>
        <x:v>45957</x:v>
      </x:c>
      <x:c r="M662" t="str">
        <x:f>XLOOKUP(C662,Products!A:A,Products!C:C,"")</x:f>
        <x:v>Furniture</x:v>
      </x:c>
    </x:row>
    <x:row r="663">
      <x:c r="A663" s="15" t="str">
        <x:v>ITEM00280_1</x:v>
      </x:c>
      <x:c r="B663" s="15" t="str">
        <x:v>ORD00280</x:v>
      </x:c>
      <x:c r="C663" s="15" t="str">
        <x:v>PROD035</x:v>
      </x:c>
      <x:c r="D663" s="15" t="n">
        <x:v>1</x:v>
      </x:c>
      <x:c r="E663" s="15" t="n">
        <x:v>3972.26</x:v>
      </x:c>
      <x:c r="F663" s="15" t="n">
        <x:v>0</x:v>
      </x:c>
      <x:c r="G663" s="15" t="n">
        <x:v>3972.26</x:v>
      </x:c>
      <x:c r="H663" s="15" t="n">
        <x:v>3972.26</x:v>
      </x:c>
      <x:c r="I663" s="15" t="n">
        <x:v>3187</x:v>
      </x:c>
      <x:c r="J663" s="15" t="n">
        <x:v>785.26</x:v>
      </x:c>
      <x:c r="K663" t="str">
        <x:f>XLOOKUP(B663,Orders!A:A,Orders!E:E,"")</x:f>
        <x:v>East</x:v>
      </x:c>
      <x:c r="L663" t="n">
        <x:f>XLOOKUP(B663,Orders!A:A,Orders!B:B,"")</x:f>
        <x:v>45757</x:v>
      </x:c>
      <x:c r="M663" t="str">
        <x:f>XLOOKUP(C663,Products!A:A,Products!C:C,"")</x:f>
        <x:v>Electronics</x:v>
      </x:c>
    </x:row>
    <x:row r="664">
      <x:c r="A664" s="15" t="str">
        <x:v>ITEM00280_2</x:v>
      </x:c>
      <x:c r="B664" s="15" t="str">
        <x:v>ORD00280</x:v>
      </x:c>
      <x:c r="C664" s="15" t="str">
        <x:v>PROD021</x:v>
      </x:c>
      <x:c r="D664" s="15" t="n">
        <x:v>3</x:v>
      </x:c>
      <x:c r="E664" s="15" t="n">
        <x:v>6748.85</x:v>
      </x:c>
      <x:c r="F664" s="15" t="n">
        <x:v>0</x:v>
      </x:c>
      <x:c r="G664" s="15" t="n">
        <x:v>20246.55</x:v>
      </x:c>
      <x:c r="H664" s="15" t="n">
        <x:v>20246.55</x:v>
      </x:c>
      <x:c r="I664" s="15" t="n">
        <x:v>14997</x:v>
      </x:c>
      <x:c r="J664" s="15" t="n">
        <x:v>5249.55</x:v>
      </x:c>
      <x:c r="K664" t="str">
        <x:f>XLOOKUP(B664,Orders!A:A,Orders!E:E,"")</x:f>
        <x:v>East</x:v>
      </x:c>
      <x:c r="L664" t="n">
        <x:f>XLOOKUP(B664,Orders!A:A,Orders!B:B,"")</x:f>
        <x:v>45757</x:v>
      </x:c>
      <x:c r="M664" t="str">
        <x:f>XLOOKUP(C664,Products!A:A,Products!C:C,"")</x:f>
        <x:v>Electronics</x:v>
      </x:c>
    </x:row>
    <x:row r="665">
      <x:c r="A665" s="15" t="str">
        <x:v>ITEM00281_1</x:v>
      </x:c>
      <x:c r="B665" s="15" t="str">
        <x:v>ORD00281</x:v>
      </x:c>
      <x:c r="C665" s="15" t="str">
        <x:v>PROD026</x:v>
      </x:c>
      <x:c r="D665" s="15" t="n">
        <x:v>2</x:v>
      </x:c>
      <x:c r="E665" s="15" t="n">
        <x:v>3848.69</x:v>
      </x:c>
      <x:c r="F665" s="15" t="n">
        <x:v>0</x:v>
      </x:c>
      <x:c r="G665" s="15" t="n">
        <x:v>7697.38</x:v>
      </x:c>
      <x:c r="H665" s="15" t="n">
        <x:v>7697.38</x:v>
      </x:c>
      <x:c r="I665" s="15" t="n">
        <x:v>5268</x:v>
      </x:c>
      <x:c r="J665" s="15" t="n">
        <x:v>2429.38</x:v>
      </x:c>
      <x:c r="K665" t="str">
        <x:f>XLOOKUP(B665,Orders!A:A,Orders!E:E,"")</x:f>
        <x:v>South</x:v>
      </x:c>
      <x:c r="L665" t="n">
        <x:f>XLOOKUP(B665,Orders!A:A,Orders!B:B,"")</x:f>
        <x:v>45781</x:v>
      </x:c>
      <x:c r="M665" t="str">
        <x:f>XLOOKUP(C665,Products!A:A,Products!C:C,"")</x:f>
        <x:v>Accessories</x:v>
      </x:c>
    </x:row>
    <x:row r="666">
      <x:c r="A666" s="15" t="str">
        <x:v>ITEM00281_2</x:v>
      </x:c>
      <x:c r="B666" s="15" t="str">
        <x:v>ORD00281</x:v>
      </x:c>
      <x:c r="C666" s="15" t="str">
        <x:v>PROD036</x:v>
      </x:c>
      <x:c r="D666" s="15" t="n">
        <x:v>6</x:v>
      </x:c>
      <x:c r="E666" s="15" t="n">
        <x:v>7158.64</x:v>
      </x:c>
      <x:c r="F666" s="15" t="n">
        <x:v>0</x:v>
      </x:c>
      <x:c r="G666" s="15" t="n">
        <x:v>42951.84</x:v>
      </x:c>
      <x:c r="H666" s="15" t="n">
        <x:v>42951.84</x:v>
      </x:c>
      <x:c r="I666" s="15" t="n">
        <x:v>31026</x:v>
      </x:c>
      <x:c r="J666" s="15" t="n">
        <x:v>11925.84</x:v>
      </x:c>
      <x:c r="K666" t="str">
        <x:f>XLOOKUP(B666,Orders!A:A,Orders!E:E,"")</x:f>
        <x:v>South</x:v>
      </x:c>
      <x:c r="L666" t="n">
        <x:f>XLOOKUP(B666,Orders!A:A,Orders!B:B,"")</x:f>
        <x:v>45781</x:v>
      </x:c>
      <x:c r="M666" t="str">
        <x:f>XLOOKUP(C666,Products!A:A,Products!C:C,"")</x:f>
        <x:v>Accessories</x:v>
      </x:c>
    </x:row>
    <x:row r="667">
      <x:c r="A667" s="15" t="str">
        <x:v>ITEM00281_3</x:v>
      </x:c>
      <x:c r="B667" s="15" t="str">
        <x:v>ORD00281</x:v>
      </x:c>
      <x:c r="C667" s="15" t="str">
        <x:v>PROD014</x:v>
      </x:c>
      <x:c r="D667" s="15" t="n">
        <x:v>2</x:v>
      </x:c>
      <x:c r="E667" s="15" t="n">
        <x:v>1611.65</x:v>
      </x:c>
      <x:c r="F667" s="15" t="n">
        <x:v>0.15</x:v>
      </x:c>
      <x:c r="G667" s="15" t="n">
        <x:v>3223.3</x:v>
      </x:c>
      <x:c r="H667" s="15" t="n">
        <x:v>2739.81</x:v>
      </x:c>
      <x:c r="I667" s="15" t="n">
        <x:v>2466</x:v>
      </x:c>
      <x:c r="J667" s="15" t="n">
        <x:v>273.81</x:v>
      </x:c>
      <x:c r="K667" t="str">
        <x:f>XLOOKUP(B667,Orders!A:A,Orders!E:E,"")</x:f>
        <x:v>South</x:v>
      </x:c>
      <x:c r="L667" t="n">
        <x:f>XLOOKUP(B667,Orders!A:A,Orders!B:B,"")</x:f>
        <x:v>45781</x:v>
      </x:c>
      <x:c r="M667" t="str">
        <x:f>XLOOKUP(C667,Products!A:A,Products!C:C,"")</x:f>
        <x:v>Office Supplies</x:v>
      </x:c>
    </x:row>
    <x:row r="668">
      <x:c r="A668" s="15" t="str">
        <x:v>ITEM00281_4</x:v>
      </x:c>
      <x:c r="B668" s="15" t="str">
        <x:v>ORD00281</x:v>
      </x:c>
      <x:c r="C668" s="15" t="str">
        <x:v>PROD033</x:v>
      </x:c>
      <x:c r="D668" s="15" t="n">
        <x:v>5</x:v>
      </x:c>
      <x:c r="E668" s="15" t="n">
        <x:v>3912.41</x:v>
      </x:c>
      <x:c r="F668" s="15" t="n">
        <x:v>0.15</x:v>
      </x:c>
      <x:c r="G668" s="15" t="n">
        <x:v>19562.05</x:v>
      </x:c>
      <x:c r="H668" s="15" t="n">
        <x:v>16627.74</x:v>
      </x:c>
      <x:c r="I668" s="15" t="n">
        <x:v>14955</x:v>
      </x:c>
      <x:c r="J668" s="15" t="n">
        <x:v>1672.74</x:v>
      </x:c>
      <x:c r="K668" t="str">
        <x:f>XLOOKUP(B668,Orders!A:A,Orders!E:E,"")</x:f>
        <x:v>South</x:v>
      </x:c>
      <x:c r="L668" t="n">
        <x:f>XLOOKUP(B668,Orders!A:A,Orders!B:B,"")</x:f>
        <x:v>45781</x:v>
      </x:c>
      <x:c r="M668" t="str">
        <x:f>XLOOKUP(C668,Products!A:A,Products!C:C,"")</x:f>
        <x:v>Furniture</x:v>
      </x:c>
    </x:row>
    <x:row r="669">
      <x:c r="A669" s="15" t="str">
        <x:v>ITEM00282_1</x:v>
      </x:c>
      <x:c r="B669" s="15" t="str">
        <x:v>ORD00282</x:v>
      </x:c>
      <x:c r="C669" s="15" t="str">
        <x:v>PROD004</x:v>
      </x:c>
      <x:c r="D669" s="15" t="n">
        <x:v>2</x:v>
      </x:c>
      <x:c r="E669" s="15" t="n">
        <x:v>5435.39</x:v>
      </x:c>
      <x:c r="F669" s="15" t="n">
        <x:v>0</x:v>
      </x:c>
      <x:c r="G669" s="15" t="n">
        <x:v>10870.78</x:v>
      </x:c>
      <x:c r="H669" s="15" t="n">
        <x:v>10870.78</x:v>
      </x:c>
      <x:c r="I669" s="15" t="n">
        <x:v>8282</x:v>
      </x:c>
      <x:c r="J669" s="15" t="n">
        <x:v>2588.78</x:v>
      </x:c>
      <x:c r="K669" t="str">
        <x:f>XLOOKUP(B669,Orders!A:A,Orders!E:E,"")</x:f>
        <x:v>West</x:v>
      </x:c>
      <x:c r="L669" t="n">
        <x:f>XLOOKUP(B669,Orders!A:A,Orders!B:B,"")</x:f>
        <x:v>46007</x:v>
      </x:c>
      <x:c r="M669" t="str">
        <x:f>XLOOKUP(C669,Products!A:A,Products!C:C,"")</x:f>
        <x:v>Office Supplies</x:v>
      </x:c>
    </x:row>
    <x:row r="670">
      <x:c r="A670" s="15" t="str">
        <x:v>ITEM00282_2</x:v>
      </x:c>
      <x:c r="B670" s="15" t="str">
        <x:v>ORD00282</x:v>
      </x:c>
      <x:c r="C670" s="15" t="str">
        <x:v>PROD022</x:v>
      </x:c>
      <x:c r="D670" s="15" t="n">
        <x:v>8</x:v>
      </x:c>
      <x:c r="E670" s="15" t="n">
        <x:v>7775.36</x:v>
      </x:c>
      <x:c r="F670" s="15" t="n">
        <x:v>0.1</x:v>
      </x:c>
      <x:c r="G670" s="15" t="n">
        <x:v>62202.88</x:v>
      </x:c>
      <x:c r="H670" s="15" t="n">
        <x:v>55982.59</x:v>
      </x:c>
      <x:c r="I670" s="15" t="n">
        <x:v>50648</x:v>
      </x:c>
      <x:c r="J670" s="15" t="n">
        <x:v>5334.59</x:v>
      </x:c>
      <x:c r="K670" t="str">
        <x:f>XLOOKUP(B670,Orders!A:A,Orders!E:E,"")</x:f>
        <x:v>West</x:v>
      </x:c>
      <x:c r="L670" t="n">
        <x:f>XLOOKUP(B670,Orders!A:A,Orders!B:B,"")</x:f>
        <x:v>46007</x:v>
      </x:c>
      <x:c r="M670" t="str">
        <x:f>XLOOKUP(C670,Products!A:A,Products!C:C,"")</x:f>
        <x:v>Furniture</x:v>
      </x:c>
    </x:row>
    <x:row r="671">
      <x:c r="A671" s="15" t="str">
        <x:v>ITEM00282_3</x:v>
      </x:c>
      <x:c r="B671" s="15" t="str">
        <x:v>ORD00282</x:v>
      </x:c>
      <x:c r="C671" s="15" t="str">
        <x:v>PROD010</x:v>
      </x:c>
      <x:c r="D671" s="15" t="n">
        <x:v>1</x:v>
      </x:c>
      <x:c r="E671" s="15" t="n">
        <x:v>8670.63</x:v>
      </x:c>
      <x:c r="F671" s="15" t="n">
        <x:v>0.1</x:v>
      </x:c>
      <x:c r="G671" s="15" t="n">
        <x:v>8670.63</x:v>
      </x:c>
      <x:c r="H671" s="15" t="n">
        <x:v>7803.57</x:v>
      </x:c>
      <x:c r="I671" s="15" t="n">
        <x:v>5853</x:v>
      </x:c>
      <x:c r="J671" s="15" t="n">
        <x:v>1950.57</x:v>
      </x:c>
      <x:c r="K671" t="str">
        <x:f>XLOOKUP(B671,Orders!A:A,Orders!E:E,"")</x:f>
        <x:v>West</x:v>
      </x:c>
      <x:c r="L671" t="n">
        <x:f>XLOOKUP(B671,Orders!A:A,Orders!B:B,"")</x:f>
        <x:v>46007</x:v>
      </x:c>
      <x:c r="M671" t="str">
        <x:f>XLOOKUP(C671,Products!A:A,Products!C:C,"")</x:f>
        <x:v>Accessories</x:v>
      </x:c>
    </x:row>
    <x:row r="672">
      <x:c r="A672" s="15" t="str">
        <x:v>ITEM00283_1</x:v>
      </x:c>
      <x:c r="B672" s="15" t="str">
        <x:v>ORD00283</x:v>
      </x:c>
      <x:c r="C672" s="15" t="str">
        <x:v>PROD001</x:v>
      </x:c>
      <x:c r="D672" s="15" t="n">
        <x:v>1</x:v>
      </x:c>
      <x:c r="E672" s="15" t="n">
        <x:v>8672.7</x:v>
      </x:c>
      <x:c r="F672" s="15" t="n">
        <x:v>0.1</x:v>
      </x:c>
      <x:c r="G672" s="15" t="n">
        <x:v>8672.7</x:v>
      </x:c>
      <x:c r="H672" s="15" t="n">
        <x:v>7805.43</x:v>
      </x:c>
      <x:c r="I672" s="15" t="n">
        <x:v>6163</x:v>
      </x:c>
      <x:c r="J672" s="15" t="n">
        <x:v>1642.43</x:v>
      </x:c>
      <x:c r="K672" t="str">
        <x:f>XLOOKUP(B672,Orders!A:A,Orders!E:E,"")</x:f>
        <x:v>East</x:v>
      </x:c>
      <x:c r="L672" t="n">
        <x:f>XLOOKUP(B672,Orders!A:A,Orders!B:B,"")</x:f>
        <x:v>45786</x:v>
      </x:c>
      <x:c r="M672" t="str">
        <x:f>XLOOKUP(C672,Products!A:A,Products!C:C,"")</x:f>
        <x:v>Office Supplies</x:v>
      </x:c>
    </x:row>
    <x:row r="673">
      <x:c r="A673" s="15" t="str">
        <x:v>ITEM00283_2</x:v>
      </x:c>
      <x:c r="B673" s="15" t="str">
        <x:v>ORD00283</x:v>
      </x:c>
      <x:c r="C673" s="15" t="str">
        <x:v>PROD001</x:v>
      </x:c>
      <x:c r="D673" s="15" t="n">
        <x:v>8</x:v>
      </x:c>
      <x:c r="E673" s="15" t="n">
        <x:v>8672.7</x:v>
      </x:c>
      <x:c r="F673" s="15" t="n">
        <x:v>0.15</x:v>
      </x:c>
      <x:c r="G673" s="15" t="n">
        <x:v>69381.6</x:v>
      </x:c>
      <x:c r="H673" s="15" t="n">
        <x:v>58974.36</x:v>
      </x:c>
      <x:c r="I673" s="15" t="n">
        <x:v>49304</x:v>
      </x:c>
      <x:c r="J673" s="15" t="n">
        <x:v>9670.36</x:v>
      </x:c>
      <x:c r="K673" t="str">
        <x:f>XLOOKUP(B673,Orders!A:A,Orders!E:E,"")</x:f>
        <x:v>East</x:v>
      </x:c>
      <x:c r="L673" t="n">
        <x:f>XLOOKUP(B673,Orders!A:A,Orders!B:B,"")</x:f>
        <x:v>45786</x:v>
      </x:c>
      <x:c r="M673" t="str">
        <x:f>XLOOKUP(C673,Products!A:A,Products!C:C,"")</x:f>
        <x:v>Office Supplies</x:v>
      </x:c>
    </x:row>
    <x:row r="674">
      <x:c r="A674" s="15" t="str">
        <x:v>ITEM00284_1</x:v>
      </x:c>
      <x:c r="B674" s="15" t="str">
        <x:v>ORD00284</x:v>
      </x:c>
      <x:c r="C674" s="15" t="str">
        <x:v>PROD019</x:v>
      </x:c>
      <x:c r="D674" s="15" t="n">
        <x:v>8</x:v>
      </x:c>
      <x:c r="E674" s="15" t="n">
        <x:v>5996.29</x:v>
      </x:c>
      <x:c r="F674" s="15" t="n">
        <x:v>0</x:v>
      </x:c>
      <x:c r="G674" s="15" t="n">
        <x:v>47970.32</x:v>
      </x:c>
      <x:c r="H674" s="15" t="n">
        <x:v>47970.32</x:v>
      </x:c>
      <x:c r="I674" s="15" t="n">
        <x:v>36080</x:v>
      </x:c>
      <x:c r="J674" s="15" t="n">
        <x:v>11890.32</x:v>
      </x:c>
      <x:c r="K674" t="str">
        <x:f>XLOOKUP(B674,Orders!A:A,Orders!E:E,"")</x:f>
        <x:v>North</x:v>
      </x:c>
      <x:c r="L674" t="n">
        <x:f>XLOOKUP(B674,Orders!A:A,Orders!B:B,"")</x:f>
        <x:v>45988</x:v>
      </x:c>
      <x:c r="M674" t="str">
        <x:f>XLOOKUP(C674,Products!A:A,Products!C:C,"")</x:f>
        <x:v>Electronics</x:v>
      </x:c>
    </x:row>
    <x:row r="675">
      <x:c r="A675" s="15" t="str">
        <x:v>ITEM00284_2</x:v>
      </x:c>
      <x:c r="B675" s="15" t="str">
        <x:v>ORD00284</x:v>
      </x:c>
      <x:c r="C675" s="15" t="str">
        <x:v>PROD037</x:v>
      </x:c>
      <x:c r="D675" s="15" t="n">
        <x:v>1</x:v>
      </x:c>
      <x:c r="E675" s="15" t="n">
        <x:v>9876.8</x:v>
      </x:c>
      <x:c r="F675" s="15" t="n">
        <x:v>0.1</x:v>
      </x:c>
      <x:c r="G675" s="15" t="n">
        <x:v>9876.8</x:v>
      </x:c>
      <x:c r="H675" s="15" t="n">
        <x:v>8889.12</x:v>
      </x:c>
      <x:c r="I675" s="15" t="n">
        <x:v>7124</x:v>
      </x:c>
      <x:c r="J675" s="15" t="n">
        <x:v>1765.12</x:v>
      </x:c>
      <x:c r="K675" t="str">
        <x:f>XLOOKUP(B675,Orders!A:A,Orders!E:E,"")</x:f>
        <x:v>North</x:v>
      </x:c>
      <x:c r="L675" t="n">
        <x:f>XLOOKUP(B675,Orders!A:A,Orders!B:B,"")</x:f>
        <x:v>45988</x:v>
      </x:c>
      <x:c r="M675" t="str">
        <x:f>XLOOKUP(C675,Products!A:A,Products!C:C,"")</x:f>
        <x:v>Accessories</x:v>
      </x:c>
    </x:row>
    <x:row r="676">
      <x:c r="A676" s="15" t="str">
        <x:v>ITEM00284_3</x:v>
      </x:c>
      <x:c r="B676" s="15" t="str">
        <x:v>ORD00284</x:v>
      </x:c>
      <x:c r="C676" s="15" t="str">
        <x:v>PROD005</x:v>
      </x:c>
      <x:c r="D676" s="15" t="n">
        <x:v>2</x:v>
      </x:c>
      <x:c r="E676" s="15" t="n">
        <x:v>6453.62</x:v>
      </x:c>
      <x:c r="F676" s="15" t="n">
        <x:v>0</x:v>
      </x:c>
      <x:c r="G676" s="15" t="n">
        <x:v>12907.24</x:v>
      </x:c>
      <x:c r="H676" s="15" t="n">
        <x:v>12907.24</x:v>
      </x:c>
      <x:c r="I676" s="15" t="n">
        <x:v>9696</x:v>
      </x:c>
      <x:c r="J676" s="15" t="n">
        <x:v>3211.24</x:v>
      </x:c>
      <x:c r="K676" t="str">
        <x:f>XLOOKUP(B676,Orders!A:A,Orders!E:E,"")</x:f>
        <x:v>North</x:v>
      </x:c>
      <x:c r="L676" t="n">
        <x:f>XLOOKUP(B676,Orders!A:A,Orders!B:B,"")</x:f>
        <x:v>45988</x:v>
      </x:c>
      <x:c r="M676" t="str">
        <x:f>XLOOKUP(C676,Products!A:A,Products!C:C,"")</x:f>
        <x:v>Office Supplies</x:v>
      </x:c>
    </x:row>
    <x:row r="677">
      <x:c r="A677" s="15" t="str">
        <x:v>ITEM00285_1</x:v>
      </x:c>
      <x:c r="B677" s="15" t="str">
        <x:v>ORD00285</x:v>
      </x:c>
      <x:c r="C677" s="15" t="str">
        <x:v>PROD021</x:v>
      </x:c>
      <x:c r="D677" s="15" t="n">
        <x:v>2</x:v>
      </x:c>
      <x:c r="E677" s="15" t="n">
        <x:v>6748.85</x:v>
      </x:c>
      <x:c r="F677" s="15" t="n">
        <x:v>0.05</x:v>
      </x:c>
      <x:c r="G677" s="15" t="n">
        <x:v>13497.7</x:v>
      </x:c>
      <x:c r="H677" s="15" t="n">
        <x:v>12822.82</x:v>
      </x:c>
      <x:c r="I677" s="15" t="n">
        <x:v>9998</x:v>
      </x:c>
      <x:c r="J677" s="15" t="n">
        <x:v>2824.82</x:v>
      </x:c>
      <x:c r="K677" t="str">
        <x:f>XLOOKUP(B677,Orders!A:A,Orders!E:E,"")</x:f>
        <x:v>North</x:v>
      </x:c>
      <x:c r="L677" t="n">
        <x:f>XLOOKUP(B677,Orders!A:A,Orders!B:B,"")</x:f>
        <x:v>45952</x:v>
      </x:c>
      <x:c r="M677" t="str">
        <x:f>XLOOKUP(C677,Products!A:A,Products!C:C,"")</x:f>
        <x:v>Electronics</x:v>
      </x:c>
    </x:row>
    <x:row r="678">
      <x:c r="A678" s="15" t="str">
        <x:v>ITEM00285_2</x:v>
      </x:c>
      <x:c r="B678" s="15" t="str">
        <x:v>ORD00285</x:v>
      </x:c>
      <x:c r="C678" s="15" t="str">
        <x:v>PROD014</x:v>
      </x:c>
      <x:c r="D678" s="15" t="n">
        <x:v>6</x:v>
      </x:c>
      <x:c r="E678" s="15" t="n">
        <x:v>1611.65</x:v>
      </x:c>
      <x:c r="F678" s="15" t="n">
        <x:v>0</x:v>
      </x:c>
      <x:c r="G678" s="15" t="n">
        <x:v>9669.9</x:v>
      </x:c>
      <x:c r="H678" s="15" t="n">
        <x:v>9669.9</x:v>
      </x:c>
      <x:c r="I678" s="15" t="n">
        <x:v>7398</x:v>
      </x:c>
      <x:c r="J678" s="15" t="n">
        <x:v>2271.9</x:v>
      </x:c>
      <x:c r="K678" t="str">
        <x:f>XLOOKUP(B678,Orders!A:A,Orders!E:E,"")</x:f>
        <x:v>North</x:v>
      </x:c>
      <x:c r="L678" t="n">
        <x:f>XLOOKUP(B678,Orders!A:A,Orders!B:B,"")</x:f>
        <x:v>45952</x:v>
      </x:c>
      <x:c r="M678" t="str">
        <x:f>XLOOKUP(C678,Products!A:A,Products!C:C,"")</x:f>
        <x:v>Office Supplies</x:v>
      </x:c>
    </x:row>
    <x:row r="679">
      <x:c r="A679" s="15" t="str">
        <x:v>ITEM00286_1</x:v>
      </x:c>
      <x:c r="B679" s="15" t="str">
        <x:v>ORD00286</x:v>
      </x:c>
      <x:c r="C679" s="15" t="str">
        <x:v>PROD033</x:v>
      </x:c>
      <x:c r="D679" s="15" t="n">
        <x:v>3</x:v>
      </x:c>
      <x:c r="E679" s="15" t="n">
        <x:v>3912.41</x:v>
      </x:c>
      <x:c r="F679" s="15" t="n">
        <x:v>0</x:v>
      </x:c>
      <x:c r="G679" s="15" t="n">
        <x:v>11737.23</x:v>
      </x:c>
      <x:c r="H679" s="15" t="n">
        <x:v>11737.23</x:v>
      </x:c>
      <x:c r="I679" s="15" t="n">
        <x:v>8973</x:v>
      </x:c>
      <x:c r="J679" s="15" t="n">
        <x:v>2764.23</x:v>
      </x:c>
      <x:c r="K679" t="str">
        <x:f>XLOOKUP(B679,Orders!A:A,Orders!E:E,"")</x:f>
        <x:v>North</x:v>
      </x:c>
      <x:c r="L679" t="n">
        <x:f>XLOOKUP(B679,Orders!A:A,Orders!B:B,"")</x:f>
        <x:v>46026</x:v>
      </x:c>
      <x:c r="M679" t="str">
        <x:f>XLOOKUP(C679,Products!A:A,Products!C:C,"")</x:f>
        <x:v>Furniture</x:v>
      </x:c>
    </x:row>
    <x:row r="680">
      <x:c r="A680" s="15" t="str">
        <x:v>ITEM00286_2</x:v>
      </x:c>
      <x:c r="B680" s="15" t="str">
        <x:v>ORD00286</x:v>
      </x:c>
      <x:c r="C680" s="15" t="str">
        <x:v>PROD017</x:v>
      </x:c>
      <x:c r="D680" s="15" t="n">
        <x:v>7</x:v>
      </x:c>
      <x:c r="E680" s="15" t="n">
        <x:v>7311.62</x:v>
      </x:c>
      <x:c r="F680" s="15" t="n">
        <x:v>0</x:v>
      </x:c>
      <x:c r="G680" s="15" t="n">
        <x:v>51181.34</x:v>
      </x:c>
      <x:c r="H680" s="15" t="n">
        <x:v>51181.34</x:v>
      </x:c>
      <x:c r="I680" s="15" t="n">
        <x:v>36806</x:v>
      </x:c>
      <x:c r="J680" s="15" t="n">
        <x:v>14375.34</x:v>
      </x:c>
      <x:c r="K680" t="str">
        <x:f>XLOOKUP(B680,Orders!A:A,Orders!E:E,"")</x:f>
        <x:v>North</x:v>
      </x:c>
      <x:c r="L680" t="n">
        <x:f>XLOOKUP(B680,Orders!A:A,Orders!B:B,"")</x:f>
        <x:v>46026</x:v>
      </x:c>
      <x:c r="M680" t="str">
        <x:f>XLOOKUP(C680,Products!A:A,Products!C:C,"")</x:f>
        <x:v>Accessories</x:v>
      </x:c>
    </x:row>
    <x:row r="681">
      <x:c r="A681" s="15" t="str">
        <x:v>ITEM00287_1</x:v>
      </x:c>
      <x:c r="B681" s="15" t="str">
        <x:v>ORD00287</x:v>
      </x:c>
      <x:c r="C681" s="15" t="str">
        <x:v>PROD031</x:v>
      </x:c>
      <x:c r="D681" s="15" t="n">
        <x:v>2</x:v>
      </x:c>
      <x:c r="E681" s="15" t="n">
        <x:v>3371.81</x:v>
      </x:c>
      <x:c r="F681" s="15" t="n">
        <x:v>0.05</x:v>
      </x:c>
      <x:c r="G681" s="15" t="n">
        <x:v>6743.62</x:v>
      </x:c>
      <x:c r="H681" s="15" t="n">
        <x:v>6406.44</x:v>
      </x:c>
      <x:c r="I681" s="15" t="n">
        <x:v>5594</x:v>
      </x:c>
      <x:c r="J681" s="15" t="n">
        <x:v>812.44</x:v>
      </x:c>
      <x:c r="K681" t="str">
        <x:f>XLOOKUP(B681,Orders!A:A,Orders!E:E,"")</x:f>
        <x:v>South</x:v>
      </x:c>
      <x:c r="L681" t="n">
        <x:f>XLOOKUP(B681,Orders!A:A,Orders!B:B,"")</x:f>
        <x:v>46061</x:v>
      </x:c>
      <x:c r="M681" t="str">
        <x:f>XLOOKUP(C681,Products!A:A,Products!C:C,"")</x:f>
        <x:v>Furniture</x:v>
      </x:c>
    </x:row>
    <x:row r="682">
      <x:c r="A682" s="15" t="str">
        <x:v>ITEM00287_2</x:v>
      </x:c>
      <x:c r="B682" s="15" t="str">
        <x:v>ORD00287</x:v>
      </x:c>
      <x:c r="C682" s="15" t="str">
        <x:v>PROD036</x:v>
      </x:c>
      <x:c r="D682" s="15" t="n">
        <x:v>5</x:v>
      </x:c>
      <x:c r="E682" s="15" t="n">
        <x:v>7158.64</x:v>
      </x:c>
      <x:c r="F682" s="15" t="n">
        <x:v>0</x:v>
      </x:c>
      <x:c r="G682" s="15" t="n">
        <x:v>35793.2</x:v>
      </x:c>
      <x:c r="H682" s="15" t="n">
        <x:v>35793.2</x:v>
      </x:c>
      <x:c r="I682" s="15" t="n">
        <x:v>25855</x:v>
      </x:c>
      <x:c r="J682" s="15" t="n">
        <x:v>9938.2</x:v>
      </x:c>
      <x:c r="K682" t="str">
        <x:f>XLOOKUP(B682,Orders!A:A,Orders!E:E,"")</x:f>
        <x:v>South</x:v>
      </x:c>
      <x:c r="L682" t="n">
        <x:f>XLOOKUP(B682,Orders!A:A,Orders!B:B,"")</x:f>
        <x:v>46061</x:v>
      </x:c>
      <x:c r="M682" t="str">
        <x:f>XLOOKUP(C682,Products!A:A,Products!C:C,"")</x:f>
        <x:v>Accessories</x:v>
      </x:c>
    </x:row>
    <x:row r="683">
      <x:c r="A683" s="15" t="str">
        <x:v>ITEM00287_3</x:v>
      </x:c>
      <x:c r="B683" s="15" t="str">
        <x:v>ORD00287</x:v>
      </x:c>
      <x:c r="C683" s="15" t="str">
        <x:v>PROD024</x:v>
      </x:c>
      <x:c r="D683" s="15" t="n">
        <x:v>3</x:v>
      </x:c>
      <x:c r="E683" s="15" t="n">
        <x:v>4018</x:v>
      </x:c>
      <x:c r="F683" s="15" t="n">
        <x:v>0</x:v>
      </x:c>
      <x:c r="G683" s="15" t="n">
        <x:v>12054</x:v>
      </x:c>
      <x:c r="H683" s="15" t="n">
        <x:v>12054</x:v>
      </x:c>
      <x:c r="I683" s="15" t="n">
        <x:v>9576</x:v>
      </x:c>
      <x:c r="J683" s="15" t="n">
        <x:v>2478</x:v>
      </x:c>
      <x:c r="K683" t="str">
        <x:f>XLOOKUP(B683,Orders!A:A,Orders!E:E,"")</x:f>
        <x:v>South</x:v>
      </x:c>
      <x:c r="L683" t="n">
        <x:f>XLOOKUP(B683,Orders!A:A,Orders!B:B,"")</x:f>
        <x:v>46061</x:v>
      </x:c>
      <x:c r="M683" t="str">
        <x:f>XLOOKUP(C683,Products!A:A,Products!C:C,"")</x:f>
        <x:v>Furniture</x:v>
      </x:c>
    </x:row>
    <x:row r="684">
      <x:c r="A684" s="15" t="str">
        <x:v>ITEM00288_1</x:v>
      </x:c>
      <x:c r="B684" s="15" t="str">
        <x:v>ORD00288</x:v>
      </x:c>
      <x:c r="C684" s="15" t="str">
        <x:v>PROD032</x:v>
      </x:c>
      <x:c r="D684" s="15" t="n">
        <x:v>5</x:v>
      </x:c>
      <x:c r="E684" s="15" t="n">
        <x:v>6307.06</x:v>
      </x:c>
      <x:c r="F684" s="15" t="n">
        <x:v>0</x:v>
      </x:c>
      <x:c r="G684" s="15" t="n">
        <x:v>31535.3</x:v>
      </x:c>
      <x:c r="H684" s="15" t="n">
        <x:v>31535.3</x:v>
      </x:c>
      <x:c r="I684" s="15" t="n">
        <x:v>25385</x:v>
      </x:c>
      <x:c r="J684" s="15" t="n">
        <x:v>6150.3</x:v>
      </x:c>
      <x:c r="K684" t="str">
        <x:f>XLOOKUP(B684,Orders!A:A,Orders!E:E,"")</x:f>
        <x:v>West</x:v>
      </x:c>
      <x:c r="L684" t="n">
        <x:f>XLOOKUP(B684,Orders!A:A,Orders!B:B,"")</x:f>
        <x:v>45837</x:v>
      </x:c>
      <x:c r="M684" t="str">
        <x:f>XLOOKUP(C684,Products!A:A,Products!C:C,"")</x:f>
        <x:v>Electronics</x:v>
      </x:c>
    </x:row>
    <x:row r="685">
      <x:c r="A685" s="15" t="str">
        <x:v>ITEM00288_2</x:v>
      </x:c>
      <x:c r="B685" s="15" t="str">
        <x:v>ORD00288</x:v>
      </x:c>
      <x:c r="C685" s="15" t="str">
        <x:v>PROD029</x:v>
      </x:c>
      <x:c r="D685" s="15" t="n">
        <x:v>8</x:v>
      </x:c>
      <x:c r="E685" s="15" t="n">
        <x:v>8430.77</x:v>
      </x:c>
      <x:c r="F685" s="15" t="n">
        <x:v>0.1</x:v>
      </x:c>
      <x:c r="G685" s="15" t="n">
        <x:v>67446.16</x:v>
      </x:c>
      <x:c r="H685" s="15" t="n">
        <x:v>60701.54</x:v>
      </x:c>
      <x:c r="I685" s="15" t="n">
        <x:v>49480</x:v>
      </x:c>
      <x:c r="J685" s="15" t="n">
        <x:v>11221.54</x:v>
      </x:c>
      <x:c r="K685" t="str">
        <x:f>XLOOKUP(B685,Orders!A:A,Orders!E:E,"")</x:f>
        <x:v>West</x:v>
      </x:c>
      <x:c r="L685" t="n">
        <x:f>XLOOKUP(B685,Orders!A:A,Orders!B:B,"")</x:f>
        <x:v>45837</x:v>
      </x:c>
      <x:c r="M685" t="str">
        <x:f>XLOOKUP(C685,Products!A:A,Products!C:C,"")</x:f>
        <x:v>Office Supplies</x:v>
      </x:c>
    </x:row>
    <x:row r="686">
      <x:c r="A686" s="15" t="str">
        <x:v>ITEM00288_3</x:v>
      </x:c>
      <x:c r="B686" s="15" t="str">
        <x:v>ORD00288</x:v>
      </x:c>
      <x:c r="C686" s="15" t="str">
        <x:v>PROD013</x:v>
      </x:c>
      <x:c r="D686" s="15" t="n">
        <x:v>4</x:v>
      </x:c>
      <x:c r="E686" s="15" t="n">
        <x:v>7614.02</x:v>
      </x:c>
      <x:c r="F686" s="15" t="n">
        <x:v>0.05</x:v>
      </x:c>
      <x:c r="G686" s="15" t="n">
        <x:v>30456.08</x:v>
      </x:c>
      <x:c r="H686" s="15" t="n">
        <x:v>28933.28</x:v>
      </x:c>
      <x:c r="I686" s="15" t="n">
        <x:v>24308</x:v>
      </x:c>
      <x:c r="J686" s="15" t="n">
        <x:v>4625.28</x:v>
      </x:c>
      <x:c r="K686" t="str">
        <x:f>XLOOKUP(B686,Orders!A:A,Orders!E:E,"")</x:f>
        <x:v>West</x:v>
      </x:c>
      <x:c r="L686" t="n">
        <x:f>XLOOKUP(B686,Orders!A:A,Orders!B:B,"")</x:f>
        <x:v>45837</x:v>
      </x:c>
      <x:c r="M686" t="str">
        <x:f>XLOOKUP(C686,Products!A:A,Products!C:C,"")</x:f>
        <x:v>Furniture</x:v>
      </x:c>
    </x:row>
    <x:row r="687">
      <x:c r="A687" s="15" t="str">
        <x:v>ITEM00289_1</x:v>
      </x:c>
      <x:c r="B687" s="15" t="str">
        <x:v>ORD00289</x:v>
      </x:c>
      <x:c r="C687" s="15" t="str">
        <x:v>PROD006</x:v>
      </x:c>
      <x:c r="D687" s="15" t="n">
        <x:v>6</x:v>
      </x:c>
      <x:c r="E687" s="15" t="n">
        <x:v>4261.26</x:v>
      </x:c>
      <x:c r="F687" s="15" t="n">
        <x:v>0.05</x:v>
      </x:c>
      <x:c r="G687" s="15" t="n">
        <x:v>25567.56</x:v>
      </x:c>
      <x:c r="H687" s="15" t="n">
        <x:v>24289.18</x:v>
      </x:c>
      <x:c r="I687" s="15" t="n">
        <x:v>18402</x:v>
      </x:c>
      <x:c r="J687" s="15" t="n">
        <x:v>5887.18</x:v>
      </x:c>
      <x:c r="K687" t="str">
        <x:f>XLOOKUP(B687,Orders!A:A,Orders!E:E,"")</x:f>
        <x:v>North</x:v>
      </x:c>
      <x:c r="L687" t="n">
        <x:f>XLOOKUP(B687,Orders!A:A,Orders!B:B,"")</x:f>
        <x:v>46098</x:v>
      </x:c>
      <x:c r="M687" t="str">
        <x:f>XLOOKUP(C687,Products!A:A,Products!C:C,"")</x:f>
        <x:v>Office Supplies</x:v>
      </x:c>
    </x:row>
    <x:row r="688">
      <x:c r="A688" s="15" t="str">
        <x:v>ITEM00289_2</x:v>
      </x:c>
      <x:c r="B688" s="15" t="str">
        <x:v>ORD00289</x:v>
      </x:c>
      <x:c r="C688" s="15" t="str">
        <x:v>PROD036</x:v>
      </x:c>
      <x:c r="D688" s="15" t="n">
        <x:v>4</x:v>
      </x:c>
      <x:c r="E688" s="15" t="n">
        <x:v>7158.64</x:v>
      </x:c>
      <x:c r="F688" s="15" t="n">
        <x:v>0.05</x:v>
      </x:c>
      <x:c r="G688" s="15" t="n">
        <x:v>28634.56</x:v>
      </x:c>
      <x:c r="H688" s="15" t="n">
        <x:v>27202.83</x:v>
      </x:c>
      <x:c r="I688" s="15" t="n">
        <x:v>20684</x:v>
      </x:c>
      <x:c r="J688" s="15" t="n">
        <x:v>6518.83</x:v>
      </x:c>
      <x:c r="K688" t="str">
        <x:f>XLOOKUP(B688,Orders!A:A,Orders!E:E,"")</x:f>
        <x:v>North</x:v>
      </x:c>
      <x:c r="L688" t="n">
        <x:f>XLOOKUP(B688,Orders!A:A,Orders!B:B,"")</x:f>
        <x:v>46098</x:v>
      </x:c>
      <x:c r="M688" t="str">
        <x:f>XLOOKUP(C688,Products!A:A,Products!C:C,"")</x:f>
        <x:v>Accessories</x:v>
      </x:c>
    </x:row>
    <x:row r="689">
      <x:c r="A689" s="15" t="str">
        <x:v>ITEM00290_1</x:v>
      </x:c>
      <x:c r="B689" s="15" t="str">
        <x:v>ORD00290</x:v>
      </x:c>
      <x:c r="C689" s="15" t="str">
        <x:v>PROD006</x:v>
      </x:c>
      <x:c r="D689" s="15" t="n">
        <x:v>5</x:v>
      </x:c>
      <x:c r="E689" s="15" t="n">
        <x:v>4261.26</x:v>
      </x:c>
      <x:c r="F689" s="15" t="n">
        <x:v>0.15</x:v>
      </x:c>
      <x:c r="G689" s="15" t="n">
        <x:v>21306.3</x:v>
      </x:c>
      <x:c r="H689" s="15" t="n">
        <x:v>18110.35</x:v>
      </x:c>
      <x:c r="I689" s="15" t="n">
        <x:v>15335</x:v>
      </x:c>
      <x:c r="J689" s="15" t="n">
        <x:v>2775.35</x:v>
      </x:c>
      <x:c r="K689" t="str">
        <x:f>XLOOKUP(B689,Orders!A:A,Orders!E:E,"")</x:f>
        <x:v>North</x:v>
      </x:c>
      <x:c r="L689" t="n">
        <x:f>XLOOKUP(B689,Orders!A:A,Orders!B:B,"")</x:f>
        <x:v>46075</x:v>
      </x:c>
      <x:c r="M689" t="str">
        <x:f>XLOOKUP(C689,Products!A:A,Products!C:C,"")</x:f>
        <x:v>Office Supplies</x:v>
      </x:c>
    </x:row>
    <x:row r="690">
      <x:c r="A690" s="15" t="str">
        <x:v>ITEM00290_2</x:v>
      </x:c>
      <x:c r="B690" s="15" t="str">
        <x:v>ORD00290</x:v>
      </x:c>
      <x:c r="C690" s="15" t="str">
        <x:v>PROD029</x:v>
      </x:c>
      <x:c r="D690" s="15" t="n">
        <x:v>6</x:v>
      </x:c>
      <x:c r="E690" s="15" t="n">
        <x:v>8430.77</x:v>
      </x:c>
      <x:c r="F690" s="15" t="n">
        <x:v>0.15</x:v>
      </x:c>
      <x:c r="G690" s="15" t="n">
        <x:v>50584.62</x:v>
      </x:c>
      <x:c r="H690" s="15" t="n">
        <x:v>42996.93</x:v>
      </x:c>
      <x:c r="I690" s="15" t="n">
        <x:v>37110</x:v>
      </x:c>
      <x:c r="J690" s="15" t="n">
        <x:v>5886.93</x:v>
      </x:c>
      <x:c r="K690" t="str">
        <x:f>XLOOKUP(B690,Orders!A:A,Orders!E:E,"")</x:f>
        <x:v>North</x:v>
      </x:c>
      <x:c r="L690" t="n">
        <x:f>XLOOKUP(B690,Orders!A:A,Orders!B:B,"")</x:f>
        <x:v>46075</x:v>
      </x:c>
      <x:c r="M690" t="str">
        <x:f>XLOOKUP(C690,Products!A:A,Products!C:C,"")</x:f>
        <x:v>Office Supplies</x:v>
      </x:c>
    </x:row>
    <x:row r="691">
      <x:c r="A691" s="15" t="str">
        <x:v>ITEM00290_3</x:v>
      </x:c>
      <x:c r="B691" s="15" t="str">
        <x:v>ORD00290</x:v>
      </x:c>
      <x:c r="C691" s="15" t="str">
        <x:v>PROD035</x:v>
      </x:c>
      <x:c r="D691" s="15" t="n">
        <x:v>6</x:v>
      </x:c>
      <x:c r="E691" s="15" t="n">
        <x:v>3972.26</x:v>
      </x:c>
      <x:c r="F691" s="15" t="n">
        <x:v>0</x:v>
      </x:c>
      <x:c r="G691" s="15" t="n">
        <x:v>23833.56</x:v>
      </x:c>
      <x:c r="H691" s="15" t="n">
        <x:v>23833.56</x:v>
      </x:c>
      <x:c r="I691" s="15" t="n">
        <x:v>19122</x:v>
      </x:c>
      <x:c r="J691" s="15" t="n">
        <x:v>4711.56</x:v>
      </x:c>
      <x:c r="K691" t="str">
        <x:f>XLOOKUP(B691,Orders!A:A,Orders!E:E,"")</x:f>
        <x:v>North</x:v>
      </x:c>
      <x:c r="L691" t="n">
        <x:f>XLOOKUP(B691,Orders!A:A,Orders!B:B,"")</x:f>
        <x:v>46075</x:v>
      </x:c>
      <x:c r="M691" t="str">
        <x:f>XLOOKUP(C691,Products!A:A,Products!C:C,"")</x:f>
        <x:v>Electronics</x:v>
      </x:c>
    </x:row>
    <x:row r="692">
      <x:c r="A692" s="15" t="str">
        <x:v>ITEM00291_1</x:v>
      </x:c>
      <x:c r="B692" s="15" t="str">
        <x:v>ORD00291</x:v>
      </x:c>
      <x:c r="C692" s="15" t="str">
        <x:v>PROD015</x:v>
      </x:c>
      <x:c r="D692" s="15" t="n">
        <x:v>1</x:v>
      </x:c>
      <x:c r="E692" s="15" t="n">
        <x:v>5903.1</x:v>
      </x:c>
      <x:c r="F692" s="15" t="n">
        <x:v>0.05</x:v>
      </x:c>
      <x:c r="G692" s="15" t="n">
        <x:v>5903.1</x:v>
      </x:c>
      <x:c r="H692" s="15" t="n">
        <x:v>5607.94</x:v>
      </x:c>
      <x:c r="I692" s="15" t="n">
        <x:v>4785</x:v>
      </x:c>
      <x:c r="J692" s="15" t="n">
        <x:v>822.94</x:v>
      </x:c>
      <x:c r="K692" t="str">
        <x:f>XLOOKUP(B692,Orders!A:A,Orders!E:E,"")</x:f>
        <x:v>West</x:v>
      </x:c>
      <x:c r="L692" t="n">
        <x:f>XLOOKUP(B692,Orders!A:A,Orders!B:B,"")</x:f>
        <x:v>46049</x:v>
      </x:c>
      <x:c r="M692" t="str">
        <x:f>XLOOKUP(C692,Products!A:A,Products!C:C,"")</x:f>
        <x:v>Electronics</x:v>
      </x:c>
    </x:row>
    <x:row r="693">
      <x:c r="A693" s="15" t="str">
        <x:v>ITEM00292_1</x:v>
      </x:c>
      <x:c r="B693" s="15" t="str">
        <x:v>ORD00292</x:v>
      </x:c>
      <x:c r="C693" s="15" t="str">
        <x:v>PROD011</x:v>
      </x:c>
      <x:c r="D693" s="15" t="n">
        <x:v>3</x:v>
      </x:c>
      <x:c r="E693" s="15" t="n">
        <x:v>7135.27</x:v>
      </x:c>
      <x:c r="F693" s="15" t="n">
        <x:v>0</x:v>
      </x:c>
      <x:c r="G693" s="15" t="n">
        <x:v>21405.81</x:v>
      </x:c>
      <x:c r="H693" s="15" t="n">
        <x:v>21405.81</x:v>
      </x:c>
      <x:c r="I693" s="15" t="n">
        <x:v>15609</x:v>
      </x:c>
      <x:c r="J693" s="15" t="n">
        <x:v>5796.81</x:v>
      </x:c>
      <x:c r="K693" t="str">
        <x:f>XLOOKUP(B693,Orders!A:A,Orders!E:E,"")</x:f>
        <x:v>North</x:v>
      </x:c>
      <x:c r="L693" t="n">
        <x:f>XLOOKUP(B693,Orders!A:A,Orders!B:B,"")</x:f>
        <x:v>46032</x:v>
      </x:c>
      <x:c r="M693" t="str">
        <x:f>XLOOKUP(C693,Products!A:A,Products!C:C,"")</x:f>
        <x:v>Accessories</x:v>
      </x:c>
    </x:row>
    <x:row r="694">
      <x:c r="A694" s="15" t="str">
        <x:v>ITEM00293_1</x:v>
      </x:c>
      <x:c r="B694" s="15" t="str">
        <x:v>ORD00293</x:v>
      </x:c>
      <x:c r="C694" s="15" t="str">
        <x:v>PROD029</x:v>
      </x:c>
      <x:c r="D694" s="15" t="n">
        <x:v>5</x:v>
      </x:c>
      <x:c r="E694" s="15" t="n">
        <x:v>8430.77</x:v>
      </x:c>
      <x:c r="F694" s="15" t="n">
        <x:v>0.1</x:v>
      </x:c>
      <x:c r="G694" s="15" t="n">
        <x:v>42153.85</x:v>
      </x:c>
      <x:c r="H694" s="15" t="n">
        <x:v>37938.46</x:v>
      </x:c>
      <x:c r="I694" s="15" t="n">
        <x:v>30925</x:v>
      </x:c>
      <x:c r="J694" s="15" t="n">
        <x:v>7013.46</x:v>
      </x:c>
      <x:c r="K694" t="str">
        <x:f>XLOOKUP(B694,Orders!A:A,Orders!E:E,"")</x:f>
        <x:v>South</x:v>
      </x:c>
      <x:c r="L694" t="n">
        <x:f>XLOOKUP(B694,Orders!A:A,Orders!B:B,"")</x:f>
        <x:v>45750</x:v>
      </x:c>
      <x:c r="M694" t="str">
        <x:f>XLOOKUP(C694,Products!A:A,Products!C:C,"")</x:f>
        <x:v>Office Supplies</x:v>
      </x:c>
    </x:row>
    <x:row r="695">
      <x:c r="A695" s="15" t="str">
        <x:v>ITEM00293_2</x:v>
      </x:c>
      <x:c r="B695" s="15" t="str">
        <x:v>ORD00293</x:v>
      </x:c>
      <x:c r="C695" s="15" t="str">
        <x:v>PROD006</x:v>
      </x:c>
      <x:c r="D695" s="15" t="n">
        <x:v>6</x:v>
      </x:c>
      <x:c r="E695" s="15" t="n">
        <x:v>4261.26</x:v>
      </x:c>
      <x:c r="F695" s="15" t="n">
        <x:v>0</x:v>
      </x:c>
      <x:c r="G695" s="15" t="n">
        <x:v>25567.56</x:v>
      </x:c>
      <x:c r="H695" s="15" t="n">
        <x:v>25567.56</x:v>
      </x:c>
      <x:c r="I695" s="15" t="n">
        <x:v>18402</x:v>
      </x:c>
      <x:c r="J695" s="15" t="n">
        <x:v>7165.56</x:v>
      </x:c>
      <x:c r="K695" t="str">
        <x:f>XLOOKUP(B695,Orders!A:A,Orders!E:E,"")</x:f>
        <x:v>South</x:v>
      </x:c>
      <x:c r="L695" t="n">
        <x:f>XLOOKUP(B695,Orders!A:A,Orders!B:B,"")</x:f>
        <x:v>45750</x:v>
      </x:c>
      <x:c r="M695" t="str">
        <x:f>XLOOKUP(C695,Products!A:A,Products!C:C,"")</x:f>
        <x:v>Office Supplies</x:v>
      </x:c>
    </x:row>
    <x:row r="696">
      <x:c r="A696" s="15" t="str">
        <x:v>ITEM00294_1</x:v>
      </x:c>
      <x:c r="B696" s="15" t="str">
        <x:v>ORD00294</x:v>
      </x:c>
      <x:c r="C696" s="15" t="str">
        <x:v>PROD032</x:v>
      </x:c>
      <x:c r="D696" s="15" t="n">
        <x:v>5</x:v>
      </x:c>
      <x:c r="E696" s="15" t="n">
        <x:v>6307.06</x:v>
      </x:c>
      <x:c r="F696" s="15" t="n">
        <x:v>0.1</x:v>
      </x:c>
      <x:c r="G696" s="15" t="n">
        <x:v>31535.3</x:v>
      </x:c>
      <x:c r="H696" s="15" t="n">
        <x:v>28381.77</x:v>
      </x:c>
      <x:c r="I696" s="15" t="n">
        <x:v>25385</x:v>
      </x:c>
      <x:c r="J696" s="15" t="n">
        <x:v>2996.77</x:v>
      </x:c>
      <x:c r="K696" t="str">
        <x:f>XLOOKUP(B696,Orders!A:A,Orders!E:E,"")</x:f>
        <x:v>West</x:v>
      </x:c>
      <x:c r="L696" t="n">
        <x:f>XLOOKUP(B696,Orders!A:A,Orders!B:B,"")</x:f>
        <x:v>46137</x:v>
      </x:c>
      <x:c r="M696" t="str">
        <x:f>XLOOKUP(C696,Products!A:A,Products!C:C,"")</x:f>
        <x:v>Electronics</x:v>
      </x:c>
    </x:row>
    <x:row r="697">
      <x:c r="A697" s="15" t="str">
        <x:v>ITEM00295_1</x:v>
      </x:c>
      <x:c r="B697" s="15" t="str">
        <x:v>ORD00295</x:v>
      </x:c>
      <x:c r="C697" s="15" t="str">
        <x:v>PROD011</x:v>
      </x:c>
      <x:c r="D697" s="15" t="n">
        <x:v>1</x:v>
      </x:c>
      <x:c r="E697" s="15" t="n">
        <x:v>7135.27</x:v>
      </x:c>
      <x:c r="F697" s="15" t="n">
        <x:v>0</x:v>
      </x:c>
      <x:c r="G697" s="15" t="n">
        <x:v>7135.27</x:v>
      </x:c>
      <x:c r="H697" s="15" t="n">
        <x:v>7135.27</x:v>
      </x:c>
      <x:c r="I697" s="15" t="n">
        <x:v>5203</x:v>
      </x:c>
      <x:c r="J697" s="15" t="n">
        <x:v>1932.27</x:v>
      </x:c>
      <x:c r="K697" t="str">
        <x:f>XLOOKUP(B697,Orders!A:A,Orders!E:E,"")</x:f>
        <x:v>West</x:v>
      </x:c>
      <x:c r="L697" t="n">
        <x:f>XLOOKUP(B697,Orders!A:A,Orders!B:B,"")</x:f>
        <x:v>45934</x:v>
      </x:c>
      <x:c r="M697" t="str">
        <x:f>XLOOKUP(C697,Products!A:A,Products!C:C,"")</x:f>
        <x:v>Accessories</x:v>
      </x:c>
    </x:row>
    <x:row r="698">
      <x:c r="A698" s="15" t="str">
        <x:v>ITEM00296_1</x:v>
      </x:c>
      <x:c r="B698" s="15" t="str">
        <x:v>ORD00296</x:v>
      </x:c>
      <x:c r="C698" s="15" t="str">
        <x:v>PROD011</x:v>
      </x:c>
      <x:c r="D698" s="15" t="n">
        <x:v>6</x:v>
      </x:c>
      <x:c r="E698" s="15" t="n">
        <x:v>7135.27</x:v>
      </x:c>
      <x:c r="F698" s="15" t="n">
        <x:v>0.15</x:v>
      </x:c>
      <x:c r="G698" s="15" t="n">
        <x:v>42811.62</x:v>
      </x:c>
      <x:c r="H698" s="15" t="n">
        <x:v>36389.88</x:v>
      </x:c>
      <x:c r="I698" s="15" t="n">
        <x:v>31218</x:v>
      </x:c>
      <x:c r="J698" s="15" t="n">
        <x:v>5171.88</x:v>
      </x:c>
      <x:c r="K698" t="str">
        <x:f>XLOOKUP(B698,Orders!A:A,Orders!E:E,"")</x:f>
        <x:v>North</x:v>
      </x:c>
      <x:c r="L698" t="n">
        <x:f>XLOOKUP(B698,Orders!A:A,Orders!B:B,"")</x:f>
        <x:v>46051</x:v>
      </x:c>
      <x:c r="M698" t="str">
        <x:f>XLOOKUP(C698,Products!A:A,Products!C:C,"")</x:f>
        <x:v>Accessories</x:v>
      </x:c>
    </x:row>
    <x:row r="699">
      <x:c r="A699" s="15" t="str">
        <x:v>ITEM00296_2</x:v>
      </x:c>
      <x:c r="B699" s="15" t="str">
        <x:v>ORD00296</x:v>
      </x:c>
      <x:c r="C699" s="15" t="str">
        <x:v>PROD014</x:v>
      </x:c>
      <x:c r="D699" s="15" t="n">
        <x:v>6</x:v>
      </x:c>
      <x:c r="E699" s="15" t="n">
        <x:v>1611.65</x:v>
      </x:c>
      <x:c r="F699" s="15" t="n">
        <x:v>0.15</x:v>
      </x:c>
      <x:c r="G699" s="15" t="n">
        <x:v>9669.9</x:v>
      </x:c>
      <x:c r="H699" s="15" t="n">
        <x:v>8219.41</x:v>
      </x:c>
      <x:c r="I699" s="15" t="n">
        <x:v>7398</x:v>
      </x:c>
      <x:c r="J699" s="15" t="n">
        <x:v>821.41</x:v>
      </x:c>
      <x:c r="K699" t="str">
        <x:f>XLOOKUP(B699,Orders!A:A,Orders!E:E,"")</x:f>
        <x:v>North</x:v>
      </x:c>
      <x:c r="L699" t="n">
        <x:f>XLOOKUP(B699,Orders!A:A,Orders!B:B,"")</x:f>
        <x:v>46051</x:v>
      </x:c>
      <x:c r="M699" t="str">
        <x:f>XLOOKUP(C699,Products!A:A,Products!C:C,"")</x:f>
        <x:v>Office Supplies</x:v>
      </x:c>
    </x:row>
    <x:row r="700">
      <x:c r="A700" s="15" t="str">
        <x:v>ITEM00296_3</x:v>
      </x:c>
      <x:c r="B700" s="15" t="str">
        <x:v>ORD00296</x:v>
      </x:c>
      <x:c r="C700" s="15" t="str">
        <x:v>PROD018</x:v>
      </x:c>
      <x:c r="D700" s="15" t="n">
        <x:v>7</x:v>
      </x:c>
      <x:c r="E700" s="15" t="n">
        <x:v>5637.8</x:v>
      </x:c>
      <x:c r="F700" s="15" t="n">
        <x:v>0.1</x:v>
      </x:c>
      <x:c r="G700" s="15" t="n">
        <x:v>39464.6</x:v>
      </x:c>
      <x:c r="H700" s="15" t="n">
        <x:v>35518.14</x:v>
      </x:c>
      <x:c r="I700" s="15" t="n">
        <x:v>29477</x:v>
      </x:c>
      <x:c r="J700" s="15" t="n">
        <x:v>6041.14</x:v>
      </x:c>
      <x:c r="K700" t="str">
        <x:f>XLOOKUP(B700,Orders!A:A,Orders!E:E,"")</x:f>
        <x:v>North</x:v>
      </x:c>
      <x:c r="L700" t="n">
        <x:f>XLOOKUP(B700,Orders!A:A,Orders!B:B,"")</x:f>
        <x:v>46051</x:v>
      </x:c>
      <x:c r="M700" t="str">
        <x:f>XLOOKUP(C700,Products!A:A,Products!C:C,"")</x:f>
        <x:v>Electronics</x:v>
      </x:c>
    </x:row>
    <x:row r="701">
      <x:c r="A701" s="15" t="str">
        <x:v>ITEM00296_4</x:v>
      </x:c>
      <x:c r="B701" s="15" t="str">
        <x:v>ORD00296</x:v>
      </x:c>
      <x:c r="C701" s="15" t="str">
        <x:v>PROD006</x:v>
      </x:c>
      <x:c r="D701" s="15" t="n">
        <x:v>3</x:v>
      </x:c>
      <x:c r="E701" s="15" t="n">
        <x:v>4261.26</x:v>
      </x:c>
      <x:c r="F701" s="15" t="n">
        <x:v>0.15</x:v>
      </x:c>
      <x:c r="G701" s="15" t="n">
        <x:v>12783.78</x:v>
      </x:c>
      <x:c r="H701" s="15" t="n">
        <x:v>10866.21</x:v>
      </x:c>
      <x:c r="I701" s="15" t="n">
        <x:v>9201</x:v>
      </x:c>
      <x:c r="J701" s="15" t="n">
        <x:v>1665.21</x:v>
      </x:c>
      <x:c r="K701" t="str">
        <x:f>XLOOKUP(B701,Orders!A:A,Orders!E:E,"")</x:f>
        <x:v>North</x:v>
      </x:c>
      <x:c r="L701" t="n">
        <x:f>XLOOKUP(B701,Orders!A:A,Orders!B:B,"")</x:f>
        <x:v>46051</x:v>
      </x:c>
      <x:c r="M701" t="str">
        <x:f>XLOOKUP(C701,Products!A:A,Products!C:C,"")</x:f>
        <x:v>Office Supplies</x:v>
      </x:c>
    </x:row>
    <x:row r="702">
      <x:c r="A702" s="15" t="str">
        <x:v>ITEM00297_1</x:v>
      </x:c>
      <x:c r="B702" s="15" t="str">
        <x:v>ORD00297</x:v>
      </x:c>
      <x:c r="C702" s="15" t="str">
        <x:v>PROD009</x:v>
      </x:c>
      <x:c r="D702" s="15" t="n">
        <x:v>8</x:v>
      </x:c>
      <x:c r="E702" s="15" t="n">
        <x:v>4722.96</x:v>
      </x:c>
      <x:c r="F702" s="15" t="n">
        <x:v>0</x:v>
      </x:c>
      <x:c r="G702" s="15" t="n">
        <x:v>37783.68</x:v>
      </x:c>
      <x:c r="H702" s="15" t="n">
        <x:v>37783.68</x:v>
      </x:c>
      <x:c r="I702" s="15" t="n">
        <x:v>25704</x:v>
      </x:c>
      <x:c r="J702" s="15" t="n">
        <x:v>12079.68</x:v>
      </x:c>
      <x:c r="K702" t="str">
        <x:f>XLOOKUP(B702,Orders!A:A,Orders!E:E,"")</x:f>
        <x:v>South</x:v>
      </x:c>
      <x:c r="L702" t="n">
        <x:f>XLOOKUP(B702,Orders!A:A,Orders!B:B,"")</x:f>
        <x:v>45829</x:v>
      </x:c>
      <x:c r="M702" t="str">
        <x:f>XLOOKUP(C702,Products!A:A,Products!C:C,"")</x:f>
        <x:v>Accessories</x:v>
      </x:c>
    </x:row>
    <x:row r="703">
      <x:c r="A703" s="15" t="str">
        <x:v>ITEM00297_2</x:v>
      </x:c>
      <x:c r="B703" s="15" t="str">
        <x:v>ORD00297</x:v>
      </x:c>
      <x:c r="C703" s="15" t="str">
        <x:v>PROD005</x:v>
      </x:c>
      <x:c r="D703" s="15" t="n">
        <x:v>1</x:v>
      </x:c>
      <x:c r="E703" s="15" t="n">
        <x:v>6453.62</x:v>
      </x:c>
      <x:c r="F703" s="15" t="n">
        <x:v>0</x:v>
      </x:c>
      <x:c r="G703" s="15" t="n">
        <x:v>6453.62</x:v>
      </x:c>
      <x:c r="H703" s="15" t="n">
        <x:v>6453.62</x:v>
      </x:c>
      <x:c r="I703" s="15" t="n">
        <x:v>4848</x:v>
      </x:c>
      <x:c r="J703" s="15" t="n">
        <x:v>1605.62</x:v>
      </x:c>
      <x:c r="K703" t="str">
        <x:f>XLOOKUP(B703,Orders!A:A,Orders!E:E,"")</x:f>
        <x:v>South</x:v>
      </x:c>
      <x:c r="L703" t="n">
        <x:f>XLOOKUP(B703,Orders!A:A,Orders!B:B,"")</x:f>
        <x:v>45829</x:v>
      </x:c>
      <x:c r="M703" t="str">
        <x:f>XLOOKUP(C703,Products!A:A,Products!C:C,"")</x:f>
        <x:v>Office Supplies</x:v>
      </x:c>
    </x:row>
    <x:row r="704">
      <x:c r="A704" s="15" t="str">
        <x:v>ITEM00297_3</x:v>
      </x:c>
      <x:c r="B704" s="15" t="str">
        <x:v>ORD00297</x:v>
      </x:c>
      <x:c r="C704" s="15" t="str">
        <x:v>PROD001</x:v>
      </x:c>
      <x:c r="D704" s="15" t="n">
        <x:v>1</x:v>
      </x:c>
      <x:c r="E704" s="15" t="n">
        <x:v>8672.7</x:v>
      </x:c>
      <x:c r="F704" s="15" t="n">
        <x:v>0</x:v>
      </x:c>
      <x:c r="G704" s="15" t="n">
        <x:v>8672.7</x:v>
      </x:c>
      <x:c r="H704" s="15" t="n">
        <x:v>8672.7</x:v>
      </x:c>
      <x:c r="I704" s="15" t="n">
        <x:v>6163</x:v>
      </x:c>
      <x:c r="J704" s="15" t="n">
        <x:v>2509.7</x:v>
      </x:c>
      <x:c r="K704" t="str">
        <x:f>XLOOKUP(B704,Orders!A:A,Orders!E:E,"")</x:f>
        <x:v>South</x:v>
      </x:c>
      <x:c r="L704" t="n">
        <x:f>XLOOKUP(B704,Orders!A:A,Orders!B:B,"")</x:f>
        <x:v>45829</x:v>
      </x:c>
      <x:c r="M704" t="str">
        <x:f>XLOOKUP(C704,Products!A:A,Products!C:C,"")</x:f>
        <x:v>Office Supplies</x:v>
      </x:c>
    </x:row>
    <x:row r="705">
      <x:c r="A705" s="15" t="str">
        <x:v>ITEM00298_1</x:v>
      </x:c>
      <x:c r="B705" s="15" t="str">
        <x:v>ORD00298</x:v>
      </x:c>
      <x:c r="C705" s="15" t="str">
        <x:v>PROD026</x:v>
      </x:c>
      <x:c r="D705" s="15" t="n">
        <x:v>7</x:v>
      </x:c>
      <x:c r="E705" s="15" t="n">
        <x:v>3848.69</x:v>
      </x:c>
      <x:c r="F705" s="15" t="n">
        <x:v>0.15</x:v>
      </x:c>
      <x:c r="G705" s="15" t="n">
        <x:v>26940.83</x:v>
      </x:c>
      <x:c r="H705" s="15" t="n">
        <x:v>22899.71</x:v>
      </x:c>
      <x:c r="I705" s="15" t="n">
        <x:v>18438</x:v>
      </x:c>
      <x:c r="J705" s="15" t="n">
        <x:v>4461.71</x:v>
      </x:c>
      <x:c r="K705" t="str">
        <x:f>XLOOKUP(B705,Orders!A:A,Orders!E:E,"")</x:f>
        <x:v>West</x:v>
      </x:c>
      <x:c r="L705" t="n">
        <x:f>XLOOKUP(B705,Orders!A:A,Orders!B:B,"")</x:f>
        <x:v>45681</x:v>
      </x:c>
      <x:c r="M705" t="str">
        <x:f>XLOOKUP(C705,Products!A:A,Products!C:C,"")</x:f>
        <x:v>Accessories</x:v>
      </x:c>
    </x:row>
    <x:row r="706">
      <x:c r="A706" s="15" t="str">
        <x:v>ITEM00299_1</x:v>
      </x:c>
      <x:c r="B706" s="15" t="str">
        <x:v>ORD00299</x:v>
      </x:c>
      <x:c r="C706" s="15" t="str">
        <x:v>PROD031</x:v>
      </x:c>
      <x:c r="D706" s="15" t="n">
        <x:v>4</x:v>
      </x:c>
      <x:c r="E706" s="15" t="n">
        <x:v>3371.81</x:v>
      </x:c>
      <x:c r="F706" s="15" t="n">
        <x:v>0.05</x:v>
      </x:c>
      <x:c r="G706" s="15" t="n">
        <x:v>13487.24</x:v>
      </x:c>
      <x:c r="H706" s="15" t="n">
        <x:v>12812.88</x:v>
      </x:c>
      <x:c r="I706" s="15" t="n">
        <x:v>11188</x:v>
      </x:c>
      <x:c r="J706" s="15" t="n">
        <x:v>1624.88</x:v>
      </x:c>
      <x:c r="K706" t="str">
        <x:f>XLOOKUP(B706,Orders!A:A,Orders!E:E,"")</x:f>
        <x:v>West</x:v>
      </x:c>
      <x:c r="L706" t="n">
        <x:f>XLOOKUP(B706,Orders!A:A,Orders!B:B,"")</x:f>
        <x:v>45769</x:v>
      </x:c>
      <x:c r="M706" t="str">
        <x:f>XLOOKUP(C706,Products!A:A,Products!C:C,"")</x:f>
        <x:v>Furniture</x:v>
      </x:c>
    </x:row>
    <x:row r="707">
      <x:c r="A707" s="15" t="str">
        <x:v>ITEM00300_1</x:v>
      </x:c>
      <x:c r="B707" s="15" t="str">
        <x:v>ORD00300</x:v>
      </x:c>
      <x:c r="C707" s="15" t="str">
        <x:v>PROD008</x:v>
      </x:c>
      <x:c r="D707" s="15" t="n">
        <x:v>2</x:v>
      </x:c>
      <x:c r="E707" s="15" t="n">
        <x:v>8534.48</x:v>
      </x:c>
      <x:c r="F707" s="15" t="n">
        <x:v>0</x:v>
      </x:c>
      <x:c r="G707" s="15" t="n">
        <x:v>17068.96</x:v>
      </x:c>
      <x:c r="H707" s="15" t="n">
        <x:v>17068.96</x:v>
      </x:c>
      <x:c r="I707" s="15" t="n">
        <x:v>12394</x:v>
      </x:c>
      <x:c r="J707" s="15" t="n">
        <x:v>4674.96</x:v>
      </x:c>
      <x:c r="K707" t="str">
        <x:f>XLOOKUP(B707,Orders!A:A,Orders!E:E,"")</x:f>
        <x:v>South</x:v>
      </x:c>
      <x:c r="L707" t="n">
        <x:f>XLOOKUP(B707,Orders!A:A,Orders!B:B,"")</x:f>
        <x:v>45749</x:v>
      </x:c>
      <x:c r="M707" t="str">
        <x:f>XLOOKUP(C707,Products!A:A,Products!C:C,"")</x:f>
        <x:v>Office Supplies</x:v>
      </x:c>
    </x:row>
    <x:row r="708">
      <x:c r="A708" s="15" t="str">
        <x:v>ITEM00300_2</x:v>
      </x:c>
      <x:c r="B708" s="15" t="str">
        <x:v>ORD00300</x:v>
      </x:c>
      <x:c r="C708" s="15" t="str">
        <x:v>PROD016</x:v>
      </x:c>
      <x:c r="D708" s="15" t="n">
        <x:v>1</x:v>
      </x:c>
      <x:c r="E708" s="15" t="n">
        <x:v>3884.33</x:v>
      </x:c>
      <x:c r="F708" s="15" t="n">
        <x:v>0.15</x:v>
      </x:c>
      <x:c r="G708" s="15" t="n">
        <x:v>3884.33</x:v>
      </x:c>
      <x:c r="H708" s="15" t="n">
        <x:v>3301.68</x:v>
      </x:c>
      <x:c r="I708" s="15" t="n">
        <x:v>3047</x:v>
      </x:c>
      <x:c r="J708" s="15" t="n">
        <x:v>254.68</x:v>
      </x:c>
      <x:c r="K708" t="str">
        <x:f>XLOOKUP(B708,Orders!A:A,Orders!E:E,"")</x:f>
        <x:v>South</x:v>
      </x:c>
      <x:c r="L708" t="n">
        <x:f>XLOOKUP(B708,Orders!A:A,Orders!B:B,"")</x:f>
        <x:v>45749</x:v>
      </x:c>
      <x:c r="M708" t="str">
        <x:f>XLOOKUP(C708,Products!A:A,Products!C:C,"")</x:f>
        <x:v>Electronics</x:v>
      </x:c>
    </x:row>
    <x:row r="709">
      <x:c r="A709" s="15" t="str">
        <x:v>ITEM00301_1</x:v>
      </x:c>
      <x:c r="B709" s="15" t="str">
        <x:v>ORD00301</x:v>
      </x:c>
      <x:c r="C709" s="15" t="str">
        <x:v>PROD015</x:v>
      </x:c>
      <x:c r="D709" s="15" t="n">
        <x:v>7</x:v>
      </x:c>
      <x:c r="E709" s="15" t="n">
        <x:v>5903.1</x:v>
      </x:c>
      <x:c r="F709" s="15" t="n">
        <x:v>0.15</x:v>
      </x:c>
      <x:c r="G709" s="15" t="n">
        <x:v>41321.7</x:v>
      </x:c>
      <x:c r="H709" s="15" t="n">
        <x:v>35123.44</x:v>
      </x:c>
      <x:c r="I709" s="15" t="n">
        <x:v>33495</x:v>
      </x:c>
      <x:c r="J709" s="15" t="n">
        <x:v>1628.44</x:v>
      </x:c>
      <x:c r="K709" t="str">
        <x:f>XLOOKUP(B709,Orders!A:A,Orders!E:E,"")</x:f>
        <x:v>West</x:v>
      </x:c>
      <x:c r="L709" t="n">
        <x:f>XLOOKUP(B709,Orders!A:A,Orders!B:B,"")</x:f>
        <x:v>46200</x:v>
      </x:c>
      <x:c r="M709" t="str">
        <x:f>XLOOKUP(C709,Products!A:A,Products!C:C,"")</x:f>
        <x:v>Electronics</x:v>
      </x:c>
    </x:row>
    <x:row r="710">
      <x:c r="A710" s="15" t="str">
        <x:v>ITEM00301_2</x:v>
      </x:c>
      <x:c r="B710" s="15" t="str">
        <x:v>ORD00301</x:v>
      </x:c>
      <x:c r="C710" s="15" t="str">
        <x:v>PROD018</x:v>
      </x:c>
      <x:c r="D710" s="15" t="n">
        <x:v>1</x:v>
      </x:c>
      <x:c r="E710" s="15" t="n">
        <x:v>5637.8</x:v>
      </x:c>
      <x:c r="F710" s="15" t="n">
        <x:v>0.1</x:v>
      </x:c>
      <x:c r="G710" s="15" t="n">
        <x:v>5637.8</x:v>
      </x:c>
      <x:c r="H710" s="15" t="n">
        <x:v>5074.02</x:v>
      </x:c>
      <x:c r="I710" s="15" t="n">
        <x:v>4211</x:v>
      </x:c>
      <x:c r="J710" s="15" t="n">
        <x:v>863.02</x:v>
      </x:c>
      <x:c r="K710" t="str">
        <x:f>XLOOKUP(B710,Orders!A:A,Orders!E:E,"")</x:f>
        <x:v>West</x:v>
      </x:c>
      <x:c r="L710" t="n">
        <x:f>XLOOKUP(B710,Orders!A:A,Orders!B:B,"")</x:f>
        <x:v>46200</x:v>
      </x:c>
      <x:c r="M710" t="str">
        <x:f>XLOOKUP(C710,Products!A:A,Products!C:C,"")</x:f>
        <x:v>Electronics</x:v>
      </x:c>
    </x:row>
    <x:row r="711">
      <x:c r="A711" s="15" t="str">
        <x:v>ITEM00301_3</x:v>
      </x:c>
      <x:c r="B711" s="15" t="str">
        <x:v>ORD00301</x:v>
      </x:c>
      <x:c r="C711" s="15" t="str">
        <x:v>PROD018</x:v>
      </x:c>
      <x:c r="D711" s="15" t="n">
        <x:v>1</x:v>
      </x:c>
      <x:c r="E711" s="15" t="n">
        <x:v>5637.8</x:v>
      </x:c>
      <x:c r="F711" s="15" t="n">
        <x:v>0</x:v>
      </x:c>
      <x:c r="G711" s="15" t="n">
        <x:v>5637.8</x:v>
      </x:c>
      <x:c r="H711" s="15" t="n">
        <x:v>5637.8</x:v>
      </x:c>
      <x:c r="I711" s="15" t="n">
        <x:v>4211</x:v>
      </x:c>
      <x:c r="J711" s="15" t="n">
        <x:v>1426.8</x:v>
      </x:c>
      <x:c r="K711" t="str">
        <x:f>XLOOKUP(B711,Orders!A:A,Orders!E:E,"")</x:f>
        <x:v>West</x:v>
      </x:c>
      <x:c r="L711" t="n">
        <x:f>XLOOKUP(B711,Orders!A:A,Orders!B:B,"")</x:f>
        <x:v>46200</x:v>
      </x:c>
      <x:c r="M711" t="str">
        <x:f>XLOOKUP(C711,Products!A:A,Products!C:C,"")</x:f>
        <x:v>Electronics</x:v>
      </x:c>
    </x:row>
    <x:row r="712">
      <x:c r="A712" s="15" t="str">
        <x:v>ITEM00301_4</x:v>
      </x:c>
      <x:c r="B712" s="15" t="str">
        <x:v>ORD00301</x:v>
      </x:c>
      <x:c r="C712" s="15" t="str">
        <x:v>PROD002</x:v>
      </x:c>
      <x:c r="D712" s="15" t="n">
        <x:v>1</x:v>
      </x:c>
      <x:c r="E712" s="15" t="n">
        <x:v>4655.92</x:v>
      </x:c>
      <x:c r="F712" s="15" t="n">
        <x:v>0.05</x:v>
      </x:c>
      <x:c r="G712" s="15" t="n">
        <x:v>4655.92</x:v>
      </x:c>
      <x:c r="H712" s="15" t="n">
        <x:v>4423.12</x:v>
      </x:c>
      <x:c r="I712" s="15" t="n">
        <x:v>3133</x:v>
      </x:c>
      <x:c r="J712" s="15" t="n">
        <x:v>1290.12</x:v>
      </x:c>
      <x:c r="K712" t="str">
        <x:f>XLOOKUP(B712,Orders!A:A,Orders!E:E,"")</x:f>
        <x:v>West</x:v>
      </x:c>
      <x:c r="L712" t="n">
        <x:f>XLOOKUP(B712,Orders!A:A,Orders!B:B,"")</x:f>
        <x:v>46200</x:v>
      </x:c>
      <x:c r="M712" t="str">
        <x:f>XLOOKUP(C712,Products!A:A,Products!C:C,"")</x:f>
        <x:v>Accessories</x:v>
      </x:c>
    </x:row>
    <x:row r="713">
      <x:c r="A713" s="15" t="str">
        <x:v>ITEM00302_1</x:v>
      </x:c>
      <x:c r="B713" s="15" t="str">
        <x:v>ORD00302</x:v>
      </x:c>
      <x:c r="C713" s="15" t="str">
        <x:v>PROD002</x:v>
      </x:c>
      <x:c r="D713" s="15" t="n">
        <x:v>6</x:v>
      </x:c>
      <x:c r="E713" s="15" t="n">
        <x:v>4655.92</x:v>
      </x:c>
      <x:c r="F713" s="15" t="n">
        <x:v>0.1</x:v>
      </x:c>
      <x:c r="G713" s="15" t="n">
        <x:v>27935.52</x:v>
      </x:c>
      <x:c r="H713" s="15" t="n">
        <x:v>25141.97</x:v>
      </x:c>
      <x:c r="I713" s="15" t="n">
        <x:v>18798</x:v>
      </x:c>
      <x:c r="J713" s="15" t="n">
        <x:v>6343.97</x:v>
      </x:c>
      <x:c r="K713" t="str">
        <x:f>XLOOKUP(B713,Orders!A:A,Orders!E:E,"")</x:f>
        <x:v>North</x:v>
      </x:c>
      <x:c r="L713" t="n">
        <x:f>XLOOKUP(B713,Orders!A:A,Orders!B:B,"")</x:f>
        <x:v>45857</x:v>
      </x:c>
      <x:c r="M713" t="str">
        <x:f>XLOOKUP(C713,Products!A:A,Products!C:C,"")</x:f>
        <x:v>Accessories</x:v>
      </x:c>
    </x:row>
    <x:row r="714">
      <x:c r="A714" s="15" t="str">
        <x:v>ITEM00302_2</x:v>
      </x:c>
      <x:c r="B714" s="15" t="str">
        <x:v>ORD00302</x:v>
      </x:c>
      <x:c r="C714" s="15" t="str">
        <x:v>PROD039</x:v>
      </x:c>
      <x:c r="D714" s="15" t="n">
        <x:v>4</x:v>
      </x:c>
      <x:c r="E714" s="15" t="n">
        <x:v>5945.62</x:v>
      </x:c>
      <x:c r="F714" s="15" t="n">
        <x:v>0.1</x:v>
      </x:c>
      <x:c r="G714" s="15" t="n">
        <x:v>23782.48</x:v>
      </x:c>
      <x:c r="H714" s="15" t="n">
        <x:v>21404.23</x:v>
      </x:c>
      <x:c r="I714" s="15" t="n">
        <x:v>18292</x:v>
      </x:c>
      <x:c r="J714" s="15" t="n">
        <x:v>3112.23</x:v>
      </x:c>
      <x:c r="K714" t="str">
        <x:f>XLOOKUP(B714,Orders!A:A,Orders!E:E,"")</x:f>
        <x:v>North</x:v>
      </x:c>
      <x:c r="L714" t="n">
        <x:f>XLOOKUP(B714,Orders!A:A,Orders!B:B,"")</x:f>
        <x:v>45857</x:v>
      </x:c>
      <x:c r="M714" t="str">
        <x:f>XLOOKUP(C714,Products!A:A,Products!C:C,"")</x:f>
        <x:v>Office Supplies</x:v>
      </x:c>
    </x:row>
    <x:row r="715">
      <x:c r="A715" s="15" t="str">
        <x:v>ITEM00303_1</x:v>
      </x:c>
      <x:c r="B715" s="15" t="str">
        <x:v>ORD00303</x:v>
      </x:c>
      <x:c r="C715" s="15" t="str">
        <x:v>PROD040</x:v>
      </x:c>
      <x:c r="D715" s="15" t="n">
        <x:v>7</x:v>
      </x:c>
      <x:c r="E715" s="15" t="n">
        <x:v>8561.07</x:v>
      </x:c>
      <x:c r="F715" s="15" t="n">
        <x:v>0</x:v>
      </x:c>
      <x:c r="G715" s="15" t="n">
        <x:v>59927.49</x:v>
      </x:c>
      <x:c r="H715" s="15" t="n">
        <x:v>59927.49</x:v>
      </x:c>
      <x:c r="I715" s="15" t="n">
        <x:v>47887</x:v>
      </x:c>
      <x:c r="J715" s="15" t="n">
        <x:v>12040.49</x:v>
      </x:c>
      <x:c r="K715" t="str">
        <x:f>XLOOKUP(B715,Orders!A:A,Orders!E:E,"")</x:f>
        <x:v>East</x:v>
      </x:c>
      <x:c r="L715" t="n">
        <x:f>XLOOKUP(B715,Orders!A:A,Orders!B:B,"")</x:f>
        <x:v>45954</x:v>
      </x:c>
      <x:c r="M715" t="str">
        <x:f>XLOOKUP(C715,Products!A:A,Products!C:C,"")</x:f>
        <x:v>Electronics</x:v>
      </x:c>
    </x:row>
    <x:row r="716">
      <x:c r="A716" s="15" t="str">
        <x:v>ITEM00303_2</x:v>
      </x:c>
      <x:c r="B716" s="15" t="str">
        <x:v>ORD00303</x:v>
      </x:c>
      <x:c r="C716" s="15" t="str">
        <x:v>PROD025</x:v>
      </x:c>
      <x:c r="D716" s="15" t="n">
        <x:v>1</x:v>
      </x:c>
      <x:c r="E716" s="15" t="n">
        <x:v>1148.84</x:v>
      </x:c>
      <x:c r="F716" s="15" t="n">
        <x:v>0.05</x:v>
      </x:c>
      <x:c r="G716" s="15" t="n">
        <x:v>1148.84</x:v>
      </x:c>
      <x:c r="H716" s="15" t="n">
        <x:v>1091.4</x:v>
      </x:c>
      <x:c r="I716" s="15" t="n">
        <x:v>878</x:v>
      </x:c>
      <x:c r="J716" s="15" t="n">
        <x:v>213.4</x:v>
      </x:c>
      <x:c r="K716" t="str">
        <x:f>XLOOKUP(B716,Orders!A:A,Orders!E:E,"")</x:f>
        <x:v>East</x:v>
      </x:c>
      <x:c r="L716" t="n">
        <x:f>XLOOKUP(B716,Orders!A:A,Orders!B:B,"")</x:f>
        <x:v>45954</x:v>
      </x:c>
      <x:c r="M716" t="str">
        <x:f>XLOOKUP(C716,Products!A:A,Products!C:C,"")</x:f>
        <x:v>Furniture</x:v>
      </x:c>
    </x:row>
    <x:row r="717">
      <x:c r="A717" s="15" t="str">
        <x:v>ITEM00304_1</x:v>
      </x:c>
      <x:c r="B717" s="15" t="str">
        <x:v>ORD00304</x:v>
      </x:c>
      <x:c r="C717" s="15" t="str">
        <x:v>PROD034</x:v>
      </x:c>
      <x:c r="D717" s="15" t="n">
        <x:v>2</x:v>
      </x:c>
      <x:c r="E717" s="15" t="n">
        <x:v>5451.76</x:v>
      </x:c>
      <x:c r="F717" s="15" t="n">
        <x:v>0</x:v>
      </x:c>
      <x:c r="G717" s="15" t="n">
        <x:v>10903.52</x:v>
      </x:c>
      <x:c r="H717" s="15" t="n">
        <x:v>10903.52</x:v>
      </x:c>
      <x:c r="I717" s="15" t="n">
        <x:v>7552</x:v>
      </x:c>
      <x:c r="J717" s="15" t="n">
        <x:v>3351.52</x:v>
      </x:c>
      <x:c r="K717" t="str">
        <x:f>XLOOKUP(B717,Orders!A:A,Orders!E:E,"")</x:f>
        <x:v>South</x:v>
      </x:c>
      <x:c r="L717" t="n">
        <x:f>XLOOKUP(B717,Orders!A:A,Orders!B:B,"")</x:f>
        <x:v>45835</x:v>
      </x:c>
      <x:c r="M717" t="str">
        <x:f>XLOOKUP(C717,Products!A:A,Products!C:C,"")</x:f>
        <x:v>Accessories</x:v>
      </x:c>
    </x:row>
    <x:row r="718">
      <x:c r="A718" s="15" t="str">
        <x:v>ITEM00304_2</x:v>
      </x:c>
      <x:c r="B718" s="15" t="str">
        <x:v>ORD00304</x:v>
      </x:c>
      <x:c r="C718" s="15" t="str">
        <x:v>PROD035</x:v>
      </x:c>
      <x:c r="D718" s="15" t="n">
        <x:v>2</x:v>
      </x:c>
      <x:c r="E718" s="15" t="n">
        <x:v>3972.26</x:v>
      </x:c>
      <x:c r="F718" s="15" t="n">
        <x:v>0.15</x:v>
      </x:c>
      <x:c r="G718" s="15" t="n">
        <x:v>7944.52</x:v>
      </x:c>
      <x:c r="H718" s="15" t="n">
        <x:v>6752.84</x:v>
      </x:c>
      <x:c r="I718" s="15" t="n">
        <x:v>6374</x:v>
      </x:c>
      <x:c r="J718" s="15" t="n">
        <x:v>378.84</x:v>
      </x:c>
      <x:c r="K718" t="str">
        <x:f>XLOOKUP(B718,Orders!A:A,Orders!E:E,"")</x:f>
        <x:v>South</x:v>
      </x:c>
      <x:c r="L718" t="n">
        <x:f>XLOOKUP(B718,Orders!A:A,Orders!B:B,"")</x:f>
        <x:v>45835</x:v>
      </x:c>
      <x:c r="M718" t="str">
        <x:f>XLOOKUP(C718,Products!A:A,Products!C:C,"")</x:f>
        <x:v>Electronics</x:v>
      </x:c>
    </x:row>
    <x:row r="719">
      <x:c r="A719" s="15" t="str">
        <x:v>ITEM00304_3</x:v>
      </x:c>
      <x:c r="B719" s="15" t="str">
        <x:v>ORD00304</x:v>
      </x:c>
      <x:c r="C719" s="15" t="str">
        <x:v>PROD014</x:v>
      </x:c>
      <x:c r="D719" s="15" t="n">
        <x:v>6</x:v>
      </x:c>
      <x:c r="E719" s="15" t="n">
        <x:v>1611.65</x:v>
      </x:c>
      <x:c r="F719" s="15" t="n">
        <x:v>0</x:v>
      </x:c>
      <x:c r="G719" s="15" t="n">
        <x:v>9669.9</x:v>
      </x:c>
      <x:c r="H719" s="15" t="n">
        <x:v>9669.9</x:v>
      </x:c>
      <x:c r="I719" s="15" t="n">
        <x:v>7398</x:v>
      </x:c>
      <x:c r="J719" s="15" t="n">
        <x:v>2271.9</x:v>
      </x:c>
      <x:c r="K719" t="str">
        <x:f>XLOOKUP(B719,Orders!A:A,Orders!E:E,"")</x:f>
        <x:v>South</x:v>
      </x:c>
      <x:c r="L719" t="n">
        <x:f>XLOOKUP(B719,Orders!A:A,Orders!B:B,"")</x:f>
        <x:v>45835</x:v>
      </x:c>
      <x:c r="M719" t="str">
        <x:f>XLOOKUP(C719,Products!A:A,Products!C:C,"")</x:f>
        <x:v>Office Supplies</x:v>
      </x:c>
    </x:row>
    <x:row r="720">
      <x:c r="A720" s="15" t="str">
        <x:v>ITEM00305_1</x:v>
      </x:c>
      <x:c r="B720" s="15" t="str">
        <x:v>ORD00305</x:v>
      </x:c>
      <x:c r="C720" s="15" t="str">
        <x:v>PROD028</x:v>
      </x:c>
      <x:c r="D720" s="15" t="n">
        <x:v>3</x:v>
      </x:c>
      <x:c r="E720" s="15" t="n">
        <x:v>4640.74</x:v>
      </x:c>
      <x:c r="F720" s="15" t="n">
        <x:v>0</x:v>
      </x:c>
      <x:c r="G720" s="15" t="n">
        <x:v>13922.22</x:v>
      </x:c>
      <x:c r="H720" s="15" t="n">
        <x:v>13922.22</x:v>
      </x:c>
      <x:c r="I720" s="15" t="n">
        <x:v>10602</x:v>
      </x:c>
      <x:c r="J720" s="15" t="n">
        <x:v>3320.22</x:v>
      </x:c>
      <x:c r="K720" t="str">
        <x:f>XLOOKUP(B720,Orders!A:A,Orders!E:E,"")</x:f>
        <x:v>West</x:v>
      </x:c>
      <x:c r="L720" t="n">
        <x:f>XLOOKUP(B720,Orders!A:A,Orders!B:B,"")</x:f>
        <x:v>46127</x:v>
      </x:c>
      <x:c r="M720" t="str">
        <x:f>XLOOKUP(C720,Products!A:A,Products!C:C,"")</x:f>
        <x:v>Office Supplies</x:v>
      </x:c>
    </x:row>
    <x:row r="721">
      <x:c r="A721" s="15" t="str">
        <x:v>ITEM00305_2</x:v>
      </x:c>
      <x:c r="B721" s="15" t="str">
        <x:v>ORD00305</x:v>
      </x:c>
      <x:c r="C721" s="15" t="str">
        <x:v>PROD030</x:v>
      </x:c>
      <x:c r="D721" s="15" t="n">
        <x:v>5</x:v>
      </x:c>
      <x:c r="E721" s="15" t="n">
        <x:v>5180.7</x:v>
      </x:c>
      <x:c r="F721" s="15" t="n">
        <x:v>0</x:v>
      </x:c>
      <x:c r="G721" s="15" t="n">
        <x:v>25903.5</x:v>
      </x:c>
      <x:c r="H721" s="15" t="n">
        <x:v>25903.5</x:v>
      </x:c>
      <x:c r="I721" s="15" t="n">
        <x:v>19440</x:v>
      </x:c>
      <x:c r="J721" s="15" t="n">
        <x:v>6463.5</x:v>
      </x:c>
      <x:c r="K721" t="str">
        <x:f>XLOOKUP(B721,Orders!A:A,Orders!E:E,"")</x:f>
        <x:v>West</x:v>
      </x:c>
      <x:c r="L721" t="n">
        <x:f>XLOOKUP(B721,Orders!A:A,Orders!B:B,"")</x:f>
        <x:v>46127</x:v>
      </x:c>
      <x:c r="M721" t="str">
        <x:f>XLOOKUP(C721,Products!A:A,Products!C:C,"")</x:f>
        <x:v>Office Supplies</x:v>
      </x:c>
    </x:row>
    <x:row r="722">
      <x:c r="A722" s="15" t="str">
        <x:v>ITEM00305_3</x:v>
      </x:c>
      <x:c r="B722" s="15" t="str">
        <x:v>ORD00305</x:v>
      </x:c>
      <x:c r="C722" s="15" t="str">
        <x:v>PROD014</x:v>
      </x:c>
      <x:c r="D722" s="15" t="n">
        <x:v>7</x:v>
      </x:c>
      <x:c r="E722" s="15" t="n">
        <x:v>1611.65</x:v>
      </x:c>
      <x:c r="F722" s="15" t="n">
        <x:v>0.1</x:v>
      </x:c>
      <x:c r="G722" s="15" t="n">
        <x:v>11281.55</x:v>
      </x:c>
      <x:c r="H722" s="15" t="n">
        <x:v>10153.4</x:v>
      </x:c>
      <x:c r="I722" s="15" t="n">
        <x:v>8631</x:v>
      </x:c>
      <x:c r="J722" s="15" t="n">
        <x:v>1522.4</x:v>
      </x:c>
      <x:c r="K722" t="str">
        <x:f>XLOOKUP(B722,Orders!A:A,Orders!E:E,"")</x:f>
        <x:v>West</x:v>
      </x:c>
      <x:c r="L722" t="n">
        <x:f>XLOOKUP(B722,Orders!A:A,Orders!B:B,"")</x:f>
        <x:v>46127</x:v>
      </x:c>
      <x:c r="M722" t="str">
        <x:f>XLOOKUP(C722,Products!A:A,Products!C:C,"")</x:f>
        <x:v>Office Supplies</x:v>
      </x:c>
    </x:row>
    <x:row r="723">
      <x:c r="A723" s="15" t="str">
        <x:v>ITEM00305_4</x:v>
      </x:c>
      <x:c r="B723" s="15" t="str">
        <x:v>ORD00305</x:v>
      </x:c>
      <x:c r="C723" s="15" t="str">
        <x:v>PROD016</x:v>
      </x:c>
      <x:c r="D723" s="15" t="n">
        <x:v>1</x:v>
      </x:c>
      <x:c r="E723" s="15" t="n">
        <x:v>3884.33</x:v>
      </x:c>
      <x:c r="F723" s="15" t="n">
        <x:v>0.1</x:v>
      </x:c>
      <x:c r="G723" s="15" t="n">
        <x:v>3884.33</x:v>
      </x:c>
      <x:c r="H723" s="15" t="n">
        <x:v>3495.9</x:v>
      </x:c>
      <x:c r="I723" s="15" t="n">
        <x:v>3047</x:v>
      </x:c>
      <x:c r="J723" s="15" t="n">
        <x:v>448.9</x:v>
      </x:c>
      <x:c r="K723" t="str">
        <x:f>XLOOKUP(B723,Orders!A:A,Orders!E:E,"")</x:f>
        <x:v>West</x:v>
      </x:c>
      <x:c r="L723" t="n">
        <x:f>XLOOKUP(B723,Orders!A:A,Orders!B:B,"")</x:f>
        <x:v>46127</x:v>
      </x:c>
      <x:c r="M723" t="str">
        <x:f>XLOOKUP(C723,Products!A:A,Products!C:C,"")</x:f>
        <x:v>Electronics</x:v>
      </x:c>
    </x:row>
    <x:row r="724">
      <x:c r="A724" s="15" t="str">
        <x:v>ITEM00306_1</x:v>
      </x:c>
      <x:c r="B724" s="15" t="str">
        <x:v>ORD00306</x:v>
      </x:c>
      <x:c r="C724" s="15" t="str">
        <x:v>PROD002</x:v>
      </x:c>
      <x:c r="D724" s="15" t="n">
        <x:v>8</x:v>
      </x:c>
      <x:c r="E724" s="15" t="n">
        <x:v>4655.92</x:v>
      </x:c>
      <x:c r="F724" s="15" t="n">
        <x:v>0</x:v>
      </x:c>
      <x:c r="G724" s="15" t="n">
        <x:v>37247.36</x:v>
      </x:c>
      <x:c r="H724" s="15" t="n">
        <x:v>37247.36</x:v>
      </x:c>
      <x:c r="I724" s="15" t="n">
        <x:v>25064</x:v>
      </x:c>
      <x:c r="J724" s="15" t="n">
        <x:v>12183.36</x:v>
      </x:c>
      <x:c r="K724" t="str">
        <x:f>XLOOKUP(B724,Orders!A:A,Orders!E:E,"")</x:f>
        <x:v>North</x:v>
      </x:c>
      <x:c r="L724" t="n">
        <x:f>XLOOKUP(B724,Orders!A:A,Orders!B:B,"")</x:f>
        <x:v>46032</x:v>
      </x:c>
      <x:c r="M724" t="str">
        <x:f>XLOOKUP(C724,Products!A:A,Products!C:C,"")</x:f>
        <x:v>Accessories</x:v>
      </x:c>
    </x:row>
    <x:row r="725">
      <x:c r="A725" s="15" t="str">
        <x:v>ITEM00307_1</x:v>
      </x:c>
      <x:c r="B725" s="15" t="str">
        <x:v>ORD00307</x:v>
      </x:c>
      <x:c r="C725" s="15" t="str">
        <x:v>PROD039</x:v>
      </x:c>
      <x:c r="D725" s="15" t="n">
        <x:v>1</x:v>
      </x:c>
      <x:c r="E725" s="15" t="n">
        <x:v>5945.62</x:v>
      </x:c>
      <x:c r="F725" s="15" t="n">
        <x:v>0.15</x:v>
      </x:c>
      <x:c r="G725" s="15" t="n">
        <x:v>5945.62</x:v>
      </x:c>
      <x:c r="H725" s="15" t="n">
        <x:v>5053.78</x:v>
      </x:c>
      <x:c r="I725" s="15" t="n">
        <x:v>4573</x:v>
      </x:c>
      <x:c r="J725" s="15" t="n">
        <x:v>480.78</x:v>
      </x:c>
      <x:c r="K725" t="str">
        <x:f>XLOOKUP(B725,Orders!A:A,Orders!E:E,"")</x:f>
        <x:v>West</x:v>
      </x:c>
      <x:c r="L725" t="n">
        <x:f>XLOOKUP(B725,Orders!A:A,Orders!B:B,"")</x:f>
        <x:v>46089</x:v>
      </x:c>
      <x:c r="M725" t="str">
        <x:f>XLOOKUP(C725,Products!A:A,Products!C:C,"")</x:f>
        <x:v>Office Supplies</x:v>
      </x:c>
    </x:row>
    <x:row r="726">
      <x:c r="A726" s="15" t="str">
        <x:v>ITEM00308_1</x:v>
      </x:c>
      <x:c r="B726" s="15" t="str">
        <x:v>ORD00308</x:v>
      </x:c>
      <x:c r="C726" s="15" t="str">
        <x:v>PROD011</x:v>
      </x:c>
      <x:c r="D726" s="15" t="n">
        <x:v>6</x:v>
      </x:c>
      <x:c r="E726" s="15" t="n">
        <x:v>7135.27</x:v>
      </x:c>
      <x:c r="F726" s="15" t="n">
        <x:v>0.1</x:v>
      </x:c>
      <x:c r="G726" s="15" t="n">
        <x:v>42811.62</x:v>
      </x:c>
      <x:c r="H726" s="15" t="n">
        <x:v>38530.46</x:v>
      </x:c>
      <x:c r="I726" s="15" t="n">
        <x:v>31218</x:v>
      </x:c>
      <x:c r="J726" s="15" t="n">
        <x:v>7312.46</x:v>
      </x:c>
      <x:c r="K726" t="str">
        <x:f>XLOOKUP(B726,Orders!A:A,Orders!E:E,"")</x:f>
        <x:v>North</x:v>
      </x:c>
      <x:c r="L726" t="n">
        <x:f>XLOOKUP(B726,Orders!A:A,Orders!B:B,"")</x:f>
        <x:v>46030</x:v>
      </x:c>
      <x:c r="M726" t="str">
        <x:f>XLOOKUP(C726,Products!A:A,Products!C:C,"")</x:f>
        <x:v>Accessories</x:v>
      </x:c>
    </x:row>
    <x:row r="727">
      <x:c r="A727" s="15" t="str">
        <x:v>ITEM00308_2</x:v>
      </x:c>
      <x:c r="B727" s="15" t="str">
        <x:v>ORD00308</x:v>
      </x:c>
      <x:c r="C727" s="15" t="str">
        <x:v>PROD032</x:v>
      </x:c>
      <x:c r="D727" s="15" t="n">
        <x:v>5</x:v>
      </x:c>
      <x:c r="E727" s="15" t="n">
        <x:v>6307.06</x:v>
      </x:c>
      <x:c r="F727" s="15" t="n">
        <x:v>0.15</x:v>
      </x:c>
      <x:c r="G727" s="15" t="n">
        <x:v>31535.3</x:v>
      </x:c>
      <x:c r="H727" s="15" t="n">
        <x:v>26805</x:v>
      </x:c>
      <x:c r="I727" s="15" t="n">
        <x:v>25385</x:v>
      </x:c>
      <x:c r="J727" s="15" t="n">
        <x:v>1420</x:v>
      </x:c>
      <x:c r="K727" t="str">
        <x:f>XLOOKUP(B727,Orders!A:A,Orders!E:E,"")</x:f>
        <x:v>North</x:v>
      </x:c>
      <x:c r="L727" t="n">
        <x:f>XLOOKUP(B727,Orders!A:A,Orders!B:B,"")</x:f>
        <x:v>46030</x:v>
      </x:c>
      <x:c r="M727" t="str">
        <x:f>XLOOKUP(C727,Products!A:A,Products!C:C,"")</x:f>
        <x:v>Electronics</x:v>
      </x:c>
    </x:row>
    <x:row r="728">
      <x:c r="A728" s="15" t="str">
        <x:v>ITEM00308_3</x:v>
      </x:c>
      <x:c r="B728" s="15" t="str">
        <x:v>ORD00308</x:v>
      </x:c>
      <x:c r="C728" s="15" t="str">
        <x:v>PROD037</x:v>
      </x:c>
      <x:c r="D728" s="15" t="n">
        <x:v>4</x:v>
      </x:c>
      <x:c r="E728" s="15" t="n">
        <x:v>9876.8</x:v>
      </x:c>
      <x:c r="F728" s="15" t="n">
        <x:v>0</x:v>
      </x:c>
      <x:c r="G728" s="15" t="n">
        <x:v>39507.2</x:v>
      </x:c>
      <x:c r="H728" s="15" t="n">
        <x:v>39507.2</x:v>
      </x:c>
      <x:c r="I728" s="15" t="n">
        <x:v>28496</x:v>
      </x:c>
      <x:c r="J728" s="15" t="n">
        <x:v>11011.2</x:v>
      </x:c>
      <x:c r="K728" t="str">
        <x:f>XLOOKUP(B728,Orders!A:A,Orders!E:E,"")</x:f>
        <x:v>North</x:v>
      </x:c>
      <x:c r="L728" t="n">
        <x:f>XLOOKUP(B728,Orders!A:A,Orders!B:B,"")</x:f>
        <x:v>46030</x:v>
      </x:c>
      <x:c r="M728" t="str">
        <x:f>XLOOKUP(C728,Products!A:A,Products!C:C,"")</x:f>
        <x:v>Accessories</x:v>
      </x:c>
    </x:row>
    <x:row r="729">
      <x:c r="A729" s="15" t="str">
        <x:v>ITEM00308_4</x:v>
      </x:c>
      <x:c r="B729" s="15" t="str">
        <x:v>ORD00308</x:v>
      </x:c>
      <x:c r="C729" s="15" t="str">
        <x:v>PROD025</x:v>
      </x:c>
      <x:c r="D729" s="15" t="n">
        <x:v>2</x:v>
      </x:c>
      <x:c r="E729" s="15" t="n">
        <x:v>1148.84</x:v>
      </x:c>
      <x:c r="F729" s="15" t="n">
        <x:v>0.05</x:v>
      </x:c>
      <x:c r="G729" s="15" t="n">
        <x:v>2297.68</x:v>
      </x:c>
      <x:c r="H729" s="15" t="n">
        <x:v>2182.8</x:v>
      </x:c>
      <x:c r="I729" s="15" t="n">
        <x:v>1756</x:v>
      </x:c>
      <x:c r="J729" s="15" t="n">
        <x:v>426.8</x:v>
      </x:c>
      <x:c r="K729" t="str">
        <x:f>XLOOKUP(B729,Orders!A:A,Orders!E:E,"")</x:f>
        <x:v>North</x:v>
      </x:c>
      <x:c r="L729" t="n">
        <x:f>XLOOKUP(B729,Orders!A:A,Orders!B:B,"")</x:f>
        <x:v>46030</x:v>
      </x:c>
      <x:c r="M729" t="str">
        <x:f>XLOOKUP(C729,Products!A:A,Products!C:C,"")</x:f>
        <x:v>Furniture</x:v>
      </x:c>
    </x:row>
    <x:row r="730">
      <x:c r="A730" s="15" t="str">
        <x:v>ITEM00309_1</x:v>
      </x:c>
      <x:c r="B730" s="15" t="str">
        <x:v>ORD00309</x:v>
      </x:c>
      <x:c r="C730" s="15" t="str">
        <x:v>PROD036</x:v>
      </x:c>
      <x:c r="D730" s="15" t="n">
        <x:v>5</x:v>
      </x:c>
      <x:c r="E730" s="15" t="n">
        <x:v>7158.64</x:v>
      </x:c>
      <x:c r="F730" s="15" t="n">
        <x:v>0</x:v>
      </x:c>
      <x:c r="G730" s="15" t="n">
        <x:v>35793.2</x:v>
      </x:c>
      <x:c r="H730" s="15" t="n">
        <x:v>35793.2</x:v>
      </x:c>
      <x:c r="I730" s="15" t="n">
        <x:v>25855</x:v>
      </x:c>
      <x:c r="J730" s="15" t="n">
        <x:v>9938.2</x:v>
      </x:c>
      <x:c r="K730" t="str">
        <x:f>XLOOKUP(B730,Orders!A:A,Orders!E:E,"")</x:f>
        <x:v>West</x:v>
      </x:c>
      <x:c r="L730" t="n">
        <x:f>XLOOKUP(B730,Orders!A:A,Orders!B:B,"")</x:f>
        <x:v>45706</x:v>
      </x:c>
      <x:c r="M730" t="str">
        <x:f>XLOOKUP(C730,Products!A:A,Products!C:C,"")</x:f>
        <x:v>Accessories</x:v>
      </x:c>
    </x:row>
    <x:row r="731">
      <x:c r="A731" s="15" t="str">
        <x:v>ITEM00310_1</x:v>
      </x:c>
      <x:c r="B731" s="15" t="str">
        <x:v>ORD00310</x:v>
      </x:c>
      <x:c r="C731" s="15" t="str">
        <x:v>PROD016</x:v>
      </x:c>
      <x:c r="D731" s="15" t="n">
        <x:v>6</x:v>
      </x:c>
      <x:c r="E731" s="15" t="n">
        <x:v>3884.33</x:v>
      </x:c>
      <x:c r="F731" s="15" t="n">
        <x:v>0</x:v>
      </x:c>
      <x:c r="G731" s="15" t="n">
        <x:v>23305.98</x:v>
      </x:c>
      <x:c r="H731" s="15" t="n">
        <x:v>23305.98</x:v>
      </x:c>
      <x:c r="I731" s="15" t="n">
        <x:v>18282</x:v>
      </x:c>
      <x:c r="J731" s="15" t="n">
        <x:v>5023.98</x:v>
      </x:c>
      <x:c r="K731" t="str">
        <x:f>XLOOKUP(B731,Orders!A:A,Orders!E:E,"")</x:f>
        <x:v>North</x:v>
      </x:c>
      <x:c r="L731" t="n">
        <x:f>XLOOKUP(B731,Orders!A:A,Orders!B:B,"")</x:f>
        <x:v>46063</x:v>
      </x:c>
      <x:c r="M731" t="str">
        <x:f>XLOOKUP(C731,Products!A:A,Products!C:C,"")</x:f>
        <x:v>Electronics</x:v>
      </x:c>
    </x:row>
    <x:row r="732">
      <x:c r="A732" s="15" t="str">
        <x:v>ITEM00310_2</x:v>
      </x:c>
      <x:c r="B732" s="15" t="str">
        <x:v>ORD00310</x:v>
      </x:c>
      <x:c r="C732" s="15" t="str">
        <x:v>PROD007</x:v>
      </x:c>
      <x:c r="D732" s="15" t="n">
        <x:v>7</x:v>
      </x:c>
      <x:c r="E732" s="15" t="n">
        <x:v>5013.07</x:v>
      </x:c>
      <x:c r="F732" s="15" t="n">
        <x:v>0.05</x:v>
      </x:c>
      <x:c r="G732" s="15" t="n">
        <x:v>35091.49</x:v>
      </x:c>
      <x:c r="H732" s="15" t="n">
        <x:v>33336.92</x:v>
      </x:c>
      <x:c r="I732" s="15" t="n">
        <x:v>27587</x:v>
      </x:c>
      <x:c r="J732" s="15" t="n">
        <x:v>5749.92</x:v>
      </x:c>
      <x:c r="K732" t="str">
        <x:f>XLOOKUP(B732,Orders!A:A,Orders!E:E,"")</x:f>
        <x:v>North</x:v>
      </x:c>
      <x:c r="L732" t="n">
        <x:f>XLOOKUP(B732,Orders!A:A,Orders!B:B,"")</x:f>
        <x:v>46063</x:v>
      </x:c>
      <x:c r="M732" t="str">
        <x:f>XLOOKUP(C732,Products!A:A,Products!C:C,"")</x:f>
        <x:v>Electronics</x:v>
      </x:c>
    </x:row>
    <x:row r="733">
      <x:c r="A733" s="15" t="str">
        <x:v>ITEM00311_1</x:v>
      </x:c>
      <x:c r="B733" s="15" t="str">
        <x:v>ORD00311</x:v>
      </x:c>
      <x:c r="C733" s="15" t="str">
        <x:v>PROD023</x:v>
      </x:c>
      <x:c r="D733" s="15" t="n">
        <x:v>7</x:v>
      </x:c>
      <x:c r="E733" s="15" t="n">
        <x:v>5153.56</x:v>
      </x:c>
      <x:c r="F733" s="15" t="n">
        <x:v>0.1</x:v>
      </x:c>
      <x:c r="G733" s="15" t="n">
        <x:v>36074.92</x:v>
      </x:c>
      <x:c r="H733" s="15" t="n">
        <x:v>32467.43</x:v>
      </x:c>
      <x:c r="I733" s="15" t="n">
        <x:v>27706</x:v>
      </x:c>
      <x:c r="J733" s="15" t="n">
        <x:v>4761.43</x:v>
      </x:c>
      <x:c r="K733" t="str">
        <x:f>XLOOKUP(B733,Orders!A:A,Orders!E:E,"")</x:f>
        <x:v>North</x:v>
      </x:c>
      <x:c r="L733" t="n">
        <x:f>XLOOKUP(B733,Orders!A:A,Orders!B:B,"")</x:f>
        <x:v>45812</x:v>
      </x:c>
      <x:c r="M733" t="str">
        <x:f>XLOOKUP(C733,Products!A:A,Products!C:C,"")</x:f>
        <x:v>Electronics</x:v>
      </x:c>
    </x:row>
    <x:row r="734">
      <x:c r="A734" s="15" t="str">
        <x:v>ITEM00311_2</x:v>
      </x:c>
      <x:c r="B734" s="15" t="str">
        <x:v>ORD00311</x:v>
      </x:c>
      <x:c r="C734" s="15" t="str">
        <x:v>PROD024</x:v>
      </x:c>
      <x:c r="D734" s="15" t="n">
        <x:v>6</x:v>
      </x:c>
      <x:c r="E734" s="15" t="n">
        <x:v>4018</x:v>
      </x:c>
      <x:c r="F734" s="15" t="n">
        <x:v>0.1</x:v>
      </x:c>
      <x:c r="G734" s="15" t="n">
        <x:v>24108</x:v>
      </x:c>
      <x:c r="H734" s="15" t="n">
        <x:v>21697.2</x:v>
      </x:c>
      <x:c r="I734" s="15" t="n">
        <x:v>19152</x:v>
      </x:c>
      <x:c r="J734" s="15" t="n">
        <x:v>2545.2</x:v>
      </x:c>
      <x:c r="K734" t="str">
        <x:f>XLOOKUP(B734,Orders!A:A,Orders!E:E,"")</x:f>
        <x:v>North</x:v>
      </x:c>
      <x:c r="L734" t="n">
        <x:f>XLOOKUP(B734,Orders!A:A,Orders!B:B,"")</x:f>
        <x:v>45812</x:v>
      </x:c>
      <x:c r="M734" t="str">
        <x:f>XLOOKUP(C734,Products!A:A,Products!C:C,"")</x:f>
        <x:v>Furniture</x:v>
      </x:c>
    </x:row>
    <x:row r="735">
      <x:c r="A735" s="15" t="str">
        <x:v>ITEM00311_3</x:v>
      </x:c>
      <x:c r="B735" s="15" t="str">
        <x:v>ORD00311</x:v>
      </x:c>
      <x:c r="C735" s="15" t="str">
        <x:v>PROD009</x:v>
      </x:c>
      <x:c r="D735" s="15" t="n">
        <x:v>6</x:v>
      </x:c>
      <x:c r="E735" s="15" t="n">
        <x:v>4722.96</x:v>
      </x:c>
      <x:c r="F735" s="15" t="n">
        <x:v>0.1</x:v>
      </x:c>
      <x:c r="G735" s="15" t="n">
        <x:v>28337.76</x:v>
      </x:c>
      <x:c r="H735" s="15" t="n">
        <x:v>25503.98</x:v>
      </x:c>
      <x:c r="I735" s="15" t="n">
        <x:v>19278</x:v>
      </x:c>
      <x:c r="J735" s="15" t="n">
        <x:v>6225.98</x:v>
      </x:c>
      <x:c r="K735" t="str">
        <x:f>XLOOKUP(B735,Orders!A:A,Orders!E:E,"")</x:f>
        <x:v>North</x:v>
      </x:c>
      <x:c r="L735" t="n">
        <x:f>XLOOKUP(B735,Orders!A:A,Orders!B:B,"")</x:f>
        <x:v>45812</x:v>
      </x:c>
      <x:c r="M735" t="str">
        <x:f>XLOOKUP(C735,Products!A:A,Products!C:C,"")</x:f>
        <x:v>Accessories</x:v>
      </x:c>
    </x:row>
    <x:row r="736">
      <x:c r="A736" s="15" t="str">
        <x:v>ITEM00312_1</x:v>
      </x:c>
      <x:c r="B736" s="15" t="str">
        <x:v>ORD00312</x:v>
      </x:c>
      <x:c r="C736" s="15" t="str">
        <x:v>PROD016</x:v>
      </x:c>
      <x:c r="D736" s="15" t="n">
        <x:v>7</x:v>
      </x:c>
      <x:c r="E736" s="15" t="n">
        <x:v>3884.33</x:v>
      </x:c>
      <x:c r="F736" s="15" t="n">
        <x:v>0.05</x:v>
      </x:c>
      <x:c r="G736" s="15" t="n">
        <x:v>27190.31</x:v>
      </x:c>
      <x:c r="H736" s="15" t="n">
        <x:v>25830.79</x:v>
      </x:c>
      <x:c r="I736" s="15" t="n">
        <x:v>21329</x:v>
      </x:c>
      <x:c r="J736" s="15" t="n">
        <x:v>4501.79</x:v>
      </x:c>
      <x:c r="K736" t="str">
        <x:f>XLOOKUP(B736,Orders!A:A,Orders!E:E,"")</x:f>
        <x:v>North</x:v>
      </x:c>
      <x:c r="L736" t="n">
        <x:f>XLOOKUP(B736,Orders!A:A,Orders!B:B,"")</x:f>
        <x:v>45954</x:v>
      </x:c>
      <x:c r="M736" t="str">
        <x:f>XLOOKUP(C736,Products!A:A,Products!C:C,"")</x:f>
        <x:v>Electronics</x:v>
      </x:c>
    </x:row>
    <x:row r="737">
      <x:c r="A737" s="15" t="str">
        <x:v>ITEM00312_2</x:v>
      </x:c>
      <x:c r="B737" s="15" t="str">
        <x:v>ORD00312</x:v>
      </x:c>
      <x:c r="C737" s="15" t="str">
        <x:v>PROD003</x:v>
      </x:c>
      <x:c r="D737" s="15" t="n">
        <x:v>5</x:v>
      </x:c>
      <x:c r="E737" s="15" t="n">
        <x:v>10757.89</x:v>
      </x:c>
      <x:c r="F737" s="15" t="n">
        <x:v>0.1</x:v>
      </x:c>
      <x:c r="G737" s="15" t="n">
        <x:v>53789.45</x:v>
      </x:c>
      <x:c r="H737" s="15" t="n">
        <x:v>48410.5</x:v>
      </x:c>
      <x:c r="I737" s="15" t="n">
        <x:v>37105</x:v>
      </x:c>
      <x:c r="J737" s="15" t="n">
        <x:v>11305.5</x:v>
      </x:c>
      <x:c r="K737" t="str">
        <x:f>XLOOKUP(B737,Orders!A:A,Orders!E:E,"")</x:f>
        <x:v>North</x:v>
      </x:c>
      <x:c r="L737" t="n">
        <x:f>XLOOKUP(B737,Orders!A:A,Orders!B:B,"")</x:f>
        <x:v>45954</x:v>
      </x:c>
      <x:c r="M737" t="str">
        <x:f>XLOOKUP(C737,Products!A:A,Products!C:C,"")</x:f>
        <x:v>Accessories</x:v>
      </x:c>
    </x:row>
    <x:row r="738">
      <x:c r="A738" s="15" t="str">
        <x:v>ITEM00313_1</x:v>
      </x:c>
      <x:c r="B738" s="15" t="str">
        <x:v>ORD00313</x:v>
      </x:c>
      <x:c r="C738" s="15" t="str">
        <x:v>PROD008</x:v>
      </x:c>
      <x:c r="D738" s="15" t="n">
        <x:v>2</x:v>
      </x:c>
      <x:c r="E738" s="15" t="n">
        <x:v>8534.48</x:v>
      </x:c>
      <x:c r="F738" s="15" t="n">
        <x:v>0.1</x:v>
      </x:c>
      <x:c r="G738" s="15" t="n">
        <x:v>17068.96</x:v>
      </x:c>
      <x:c r="H738" s="15" t="n">
        <x:v>15362.06</x:v>
      </x:c>
      <x:c r="I738" s="15" t="n">
        <x:v>12394</x:v>
      </x:c>
      <x:c r="J738" s="15" t="n">
        <x:v>2968.06</x:v>
      </x:c>
      <x:c r="K738" t="str">
        <x:f>XLOOKUP(B738,Orders!A:A,Orders!E:E,"")</x:f>
        <x:v>North</x:v>
      </x:c>
      <x:c r="L738" t="n">
        <x:f>XLOOKUP(B738,Orders!A:A,Orders!B:B,"")</x:f>
        <x:v>46169</x:v>
      </x:c>
      <x:c r="M738" t="str">
        <x:f>XLOOKUP(C738,Products!A:A,Products!C:C,"")</x:f>
        <x:v>Office Supplies</x:v>
      </x:c>
    </x:row>
    <x:row r="739">
      <x:c r="A739" s="15" t="str">
        <x:v>ITEM00314_1</x:v>
      </x:c>
      <x:c r="B739" s="15" t="str">
        <x:v>ORD00314</x:v>
      </x:c>
      <x:c r="C739" s="15" t="str">
        <x:v>PROD021</x:v>
      </x:c>
      <x:c r="D739" s="15" t="n">
        <x:v>3</x:v>
      </x:c>
      <x:c r="E739" s="15" t="n">
        <x:v>6748.85</x:v>
      </x:c>
      <x:c r="F739" s="15" t="n">
        <x:v>0.05</x:v>
      </x:c>
      <x:c r="G739" s="15" t="n">
        <x:v>20246.55</x:v>
      </x:c>
      <x:c r="H739" s="15" t="n">
        <x:v>19234.22</x:v>
      </x:c>
      <x:c r="I739" s="15" t="n">
        <x:v>14997</x:v>
      </x:c>
      <x:c r="J739" s="15" t="n">
        <x:v>4237.22</x:v>
      </x:c>
      <x:c r="K739" t="str">
        <x:f>XLOOKUP(B739,Orders!A:A,Orders!E:E,"")</x:f>
        <x:v>North</x:v>
      </x:c>
      <x:c r="L739" t="n">
        <x:f>XLOOKUP(B739,Orders!A:A,Orders!B:B,"")</x:f>
        <x:v>46144</x:v>
      </x:c>
      <x:c r="M739" t="str">
        <x:f>XLOOKUP(C739,Products!A:A,Products!C:C,"")</x:f>
        <x:v>Electronics</x:v>
      </x:c>
    </x:row>
    <x:row r="740">
      <x:c r="A740" s="15" t="str">
        <x:v>ITEM00314_2</x:v>
      </x:c>
      <x:c r="B740" s="15" t="str">
        <x:v>ORD00314</x:v>
      </x:c>
      <x:c r="C740" s="15" t="str">
        <x:v>PROD010</x:v>
      </x:c>
      <x:c r="D740" s="15" t="n">
        <x:v>1</x:v>
      </x:c>
      <x:c r="E740" s="15" t="n">
        <x:v>8670.63</x:v>
      </x:c>
      <x:c r="F740" s="15" t="n">
        <x:v>0</x:v>
      </x:c>
      <x:c r="G740" s="15" t="n">
        <x:v>8670.63</x:v>
      </x:c>
      <x:c r="H740" s="15" t="n">
        <x:v>8670.63</x:v>
      </x:c>
      <x:c r="I740" s="15" t="n">
        <x:v>5853</x:v>
      </x:c>
      <x:c r="J740" s="15" t="n">
        <x:v>2817.63</x:v>
      </x:c>
      <x:c r="K740" t="str">
        <x:f>XLOOKUP(B740,Orders!A:A,Orders!E:E,"")</x:f>
        <x:v>North</x:v>
      </x:c>
      <x:c r="L740" t="n">
        <x:f>XLOOKUP(B740,Orders!A:A,Orders!B:B,"")</x:f>
        <x:v>46144</x:v>
      </x:c>
      <x:c r="M740" t="str">
        <x:f>XLOOKUP(C740,Products!A:A,Products!C:C,"")</x:f>
        <x:v>Accessories</x:v>
      </x:c>
    </x:row>
    <x:row r="741">
      <x:c r="A741" s="15" t="str">
        <x:v>ITEM00314_3</x:v>
      </x:c>
      <x:c r="B741" s="15" t="str">
        <x:v>ORD00314</x:v>
      </x:c>
      <x:c r="C741" s="15" t="str">
        <x:v>PROD026</x:v>
      </x:c>
      <x:c r="D741" s="15" t="n">
        <x:v>2</x:v>
      </x:c>
      <x:c r="E741" s="15" t="n">
        <x:v>3848.69</x:v>
      </x:c>
      <x:c r="F741" s="15" t="n">
        <x:v>0</x:v>
      </x:c>
      <x:c r="G741" s="15" t="n">
        <x:v>7697.38</x:v>
      </x:c>
      <x:c r="H741" s="15" t="n">
        <x:v>7697.38</x:v>
      </x:c>
      <x:c r="I741" s="15" t="n">
        <x:v>5268</x:v>
      </x:c>
      <x:c r="J741" s="15" t="n">
        <x:v>2429.38</x:v>
      </x:c>
      <x:c r="K741" t="str">
        <x:f>XLOOKUP(B741,Orders!A:A,Orders!E:E,"")</x:f>
        <x:v>North</x:v>
      </x:c>
      <x:c r="L741" t="n">
        <x:f>XLOOKUP(B741,Orders!A:A,Orders!B:B,"")</x:f>
        <x:v>46144</x:v>
      </x:c>
      <x:c r="M741" t="str">
        <x:f>XLOOKUP(C741,Products!A:A,Products!C:C,"")</x:f>
        <x:v>Accessories</x:v>
      </x:c>
    </x:row>
    <x:row r="742">
      <x:c r="A742" s="15" t="str">
        <x:v>ITEM00315_1</x:v>
      </x:c>
      <x:c r="B742" s="15" t="str">
        <x:v>ORD00315</x:v>
      </x:c>
      <x:c r="C742" s="15" t="str">
        <x:v>PROD025</x:v>
      </x:c>
      <x:c r="D742" s="15" t="n">
        <x:v>7</x:v>
      </x:c>
      <x:c r="E742" s="15" t="n">
        <x:v>1148.84</x:v>
      </x:c>
      <x:c r="F742" s="15" t="n">
        <x:v>0.05</x:v>
      </x:c>
      <x:c r="G742" s="15" t="n">
        <x:v>8041.88</x:v>
      </x:c>
      <x:c r="H742" s="15" t="n">
        <x:v>7639.79</x:v>
      </x:c>
      <x:c r="I742" s="15" t="n">
        <x:v>6146</x:v>
      </x:c>
      <x:c r="J742" s="15" t="n">
        <x:v>1493.79</x:v>
      </x:c>
      <x:c r="K742" t="str">
        <x:f>XLOOKUP(B742,Orders!A:A,Orders!E:E,"")</x:f>
        <x:v>North</x:v>
      </x:c>
      <x:c r="L742" t="n">
        <x:f>XLOOKUP(B742,Orders!A:A,Orders!B:B,"")</x:f>
        <x:v>46045</x:v>
      </x:c>
      <x:c r="M742" t="str">
        <x:f>XLOOKUP(C742,Products!A:A,Products!C:C,"")</x:f>
        <x:v>Furniture</x:v>
      </x:c>
    </x:row>
    <x:row r="743">
      <x:c r="A743" s="15" t="str">
        <x:v>ITEM00316_1</x:v>
      </x:c>
      <x:c r="B743" s="15" t="str">
        <x:v>ORD00316</x:v>
      </x:c>
      <x:c r="C743" s="15" t="str">
        <x:v>PROD020</x:v>
      </x:c>
      <x:c r="D743" s="15" t="n">
        <x:v>4</x:v>
      </x:c>
      <x:c r="E743" s="15" t="n">
        <x:v>6564.04</x:v>
      </x:c>
      <x:c r="F743" s="15" t="n">
        <x:v>0.15</x:v>
      </x:c>
      <x:c r="G743" s="15" t="n">
        <x:v>26256.16</x:v>
      </x:c>
      <x:c r="H743" s="15" t="n">
        <x:v>22317.74</x:v>
      </x:c>
      <x:c r="I743" s="15" t="n">
        <x:v>18340</x:v>
      </x:c>
      <x:c r="J743" s="15" t="n">
        <x:v>3977.74</x:v>
      </x:c>
      <x:c r="K743" t="str">
        <x:f>XLOOKUP(B743,Orders!A:A,Orders!E:E,"")</x:f>
        <x:v>South</x:v>
      </x:c>
      <x:c r="L743" t="n">
        <x:f>XLOOKUP(B743,Orders!A:A,Orders!B:B,"")</x:f>
        <x:v>45976</x:v>
      </x:c>
      <x:c r="M743" t="str">
        <x:f>XLOOKUP(C743,Products!A:A,Products!C:C,"")</x:f>
        <x:v>Accessories</x:v>
      </x:c>
    </x:row>
    <x:row r="744">
      <x:c r="A744" s="15" t="str">
        <x:v>ITEM00316_2</x:v>
      </x:c>
      <x:c r="B744" s="15" t="str">
        <x:v>ORD00316</x:v>
      </x:c>
      <x:c r="C744" s="15" t="str">
        <x:v>PROD035</x:v>
      </x:c>
      <x:c r="D744" s="15" t="n">
        <x:v>3</x:v>
      </x:c>
      <x:c r="E744" s="15" t="n">
        <x:v>3972.26</x:v>
      </x:c>
      <x:c r="F744" s="15" t="n">
        <x:v>0.15</x:v>
      </x:c>
      <x:c r="G744" s="15" t="n">
        <x:v>11916.78</x:v>
      </x:c>
      <x:c r="H744" s="15" t="n">
        <x:v>10129.26</x:v>
      </x:c>
      <x:c r="I744" s="15" t="n">
        <x:v>9561</x:v>
      </x:c>
      <x:c r="J744" s="15" t="n">
        <x:v>568.26</x:v>
      </x:c>
      <x:c r="K744" t="str">
        <x:f>XLOOKUP(B744,Orders!A:A,Orders!E:E,"")</x:f>
        <x:v>South</x:v>
      </x:c>
      <x:c r="L744" t="n">
        <x:f>XLOOKUP(B744,Orders!A:A,Orders!B:B,"")</x:f>
        <x:v>45976</x:v>
      </x:c>
      <x:c r="M744" t="str">
        <x:f>XLOOKUP(C744,Products!A:A,Products!C:C,"")</x:f>
        <x:v>Electronics</x:v>
      </x:c>
    </x:row>
    <x:row r="745">
      <x:c r="A745" s="15" t="str">
        <x:v>ITEM00317_1</x:v>
      </x:c>
      <x:c r="B745" s="15" t="str">
        <x:v>ORD00317</x:v>
      </x:c>
      <x:c r="C745" s="15" t="str">
        <x:v>PROD036</x:v>
      </x:c>
      <x:c r="D745" s="15" t="n">
        <x:v>6</x:v>
      </x:c>
      <x:c r="E745" s="15" t="n">
        <x:v>7158.64</x:v>
      </x:c>
      <x:c r="F745" s="15" t="n">
        <x:v>0.1</x:v>
      </x:c>
      <x:c r="G745" s="15" t="n">
        <x:v>42951.84</x:v>
      </x:c>
      <x:c r="H745" s="15" t="n">
        <x:v>38656.66</x:v>
      </x:c>
      <x:c r="I745" s="15" t="n">
        <x:v>31026</x:v>
      </x:c>
      <x:c r="J745" s="15" t="n">
        <x:v>7630.66</x:v>
      </x:c>
      <x:c r="K745" t="str">
        <x:f>XLOOKUP(B745,Orders!A:A,Orders!E:E,"")</x:f>
        <x:v>East</x:v>
      </x:c>
      <x:c r="L745" t="n">
        <x:f>XLOOKUP(B745,Orders!A:A,Orders!B:B,"")</x:f>
        <x:v>45740</x:v>
      </x:c>
      <x:c r="M745" t="str">
        <x:f>XLOOKUP(C745,Products!A:A,Products!C:C,"")</x:f>
        <x:v>Accessories</x:v>
      </x:c>
    </x:row>
    <x:row r="746">
      <x:c r="A746" s="15" t="str">
        <x:v>ITEM00317_2</x:v>
      </x:c>
      <x:c r="B746" s="15" t="str">
        <x:v>ORD00317</x:v>
      </x:c>
      <x:c r="C746" s="15" t="str">
        <x:v>PROD015</x:v>
      </x:c>
      <x:c r="D746" s="15" t="n">
        <x:v>1</x:v>
      </x:c>
      <x:c r="E746" s="15" t="n">
        <x:v>5903.1</x:v>
      </x:c>
      <x:c r="F746" s="15" t="n">
        <x:v>0.15</x:v>
      </x:c>
      <x:c r="G746" s="15" t="n">
        <x:v>5903.1</x:v>
      </x:c>
      <x:c r="H746" s="15" t="n">
        <x:v>5017.64</x:v>
      </x:c>
      <x:c r="I746" s="15" t="n">
        <x:v>4785</x:v>
      </x:c>
      <x:c r="J746" s="15" t="n">
        <x:v>232.64</x:v>
      </x:c>
      <x:c r="K746" t="str">
        <x:f>XLOOKUP(B746,Orders!A:A,Orders!E:E,"")</x:f>
        <x:v>East</x:v>
      </x:c>
      <x:c r="L746" t="n">
        <x:f>XLOOKUP(B746,Orders!A:A,Orders!B:B,"")</x:f>
        <x:v>45740</x:v>
      </x:c>
      <x:c r="M746" t="str">
        <x:f>XLOOKUP(C746,Products!A:A,Products!C:C,"")</x:f>
        <x:v>Electronics</x:v>
      </x:c>
    </x:row>
    <x:row r="747">
      <x:c r="A747" s="15" t="str">
        <x:v>ITEM00317_3</x:v>
      </x:c>
      <x:c r="B747" s="15" t="str">
        <x:v>ORD00317</x:v>
      </x:c>
      <x:c r="C747" s="15" t="str">
        <x:v>PROD036</x:v>
      </x:c>
      <x:c r="D747" s="15" t="n">
        <x:v>4</x:v>
      </x:c>
      <x:c r="E747" s="15" t="n">
        <x:v>7158.64</x:v>
      </x:c>
      <x:c r="F747" s="15" t="n">
        <x:v>0.1</x:v>
      </x:c>
      <x:c r="G747" s="15" t="n">
        <x:v>28634.56</x:v>
      </x:c>
      <x:c r="H747" s="15" t="n">
        <x:v>25771.1</x:v>
      </x:c>
      <x:c r="I747" s="15" t="n">
        <x:v>20684</x:v>
      </x:c>
      <x:c r="J747" s="15" t="n">
        <x:v>5087.1</x:v>
      </x:c>
      <x:c r="K747" t="str">
        <x:f>XLOOKUP(B747,Orders!A:A,Orders!E:E,"")</x:f>
        <x:v>East</x:v>
      </x:c>
      <x:c r="L747" t="n">
        <x:f>XLOOKUP(B747,Orders!A:A,Orders!B:B,"")</x:f>
        <x:v>45740</x:v>
      </x:c>
      <x:c r="M747" t="str">
        <x:f>XLOOKUP(C747,Products!A:A,Products!C:C,"")</x:f>
        <x:v>Accessories</x:v>
      </x:c>
    </x:row>
    <x:row r="748">
      <x:c r="A748" s="15" t="str">
        <x:v>ITEM00318_1</x:v>
      </x:c>
      <x:c r="B748" s="15" t="str">
        <x:v>ORD00318</x:v>
      </x:c>
      <x:c r="C748" s="15" t="str">
        <x:v>PROD003</x:v>
      </x:c>
      <x:c r="D748" s="15" t="n">
        <x:v>7</x:v>
      </x:c>
      <x:c r="E748" s="15" t="n">
        <x:v>10757.89</x:v>
      </x:c>
      <x:c r="F748" s="15" t="n">
        <x:v>0</x:v>
      </x:c>
      <x:c r="G748" s="15" t="n">
        <x:v>75305.23</x:v>
      </x:c>
      <x:c r="H748" s="15" t="n">
        <x:v>75305.23</x:v>
      </x:c>
      <x:c r="I748" s="15" t="n">
        <x:v>51947</x:v>
      </x:c>
      <x:c r="J748" s="15" t="n">
        <x:v>23358.23</x:v>
      </x:c>
      <x:c r="K748" t="str">
        <x:f>XLOOKUP(B748,Orders!A:A,Orders!E:E,"")</x:f>
        <x:v>East</x:v>
      </x:c>
      <x:c r="L748" t="n">
        <x:f>XLOOKUP(B748,Orders!A:A,Orders!B:B,"")</x:f>
        <x:v>45997</x:v>
      </x:c>
      <x:c r="M748" t="str">
        <x:f>XLOOKUP(C748,Products!A:A,Products!C:C,"")</x:f>
        <x:v>Accessories</x:v>
      </x:c>
    </x:row>
    <x:row r="749">
      <x:c r="A749" s="15" t="str">
        <x:v>ITEM00319_1</x:v>
      </x:c>
      <x:c r="B749" s="15" t="str">
        <x:v>ORD00319</x:v>
      </x:c>
      <x:c r="C749" s="15" t="str">
        <x:v>PROD023</x:v>
      </x:c>
      <x:c r="D749" s="15" t="n">
        <x:v>2</x:v>
      </x:c>
      <x:c r="E749" s="15" t="n">
        <x:v>5153.56</x:v>
      </x:c>
      <x:c r="F749" s="15" t="n">
        <x:v>0</x:v>
      </x:c>
      <x:c r="G749" s="15" t="n">
        <x:v>10307.12</x:v>
      </x:c>
      <x:c r="H749" s="15" t="n">
        <x:v>10307.12</x:v>
      </x:c>
      <x:c r="I749" s="15" t="n">
        <x:v>7916</x:v>
      </x:c>
      <x:c r="J749" s="15" t="n">
        <x:v>2391.12</x:v>
      </x:c>
      <x:c r="K749" t="str">
        <x:f>XLOOKUP(B749,Orders!A:A,Orders!E:E,"")</x:f>
        <x:v>North</x:v>
      </x:c>
      <x:c r="L749" t="n">
        <x:f>XLOOKUP(B749,Orders!A:A,Orders!B:B,"")</x:f>
        <x:v>45735</x:v>
      </x:c>
      <x:c r="M749" t="str">
        <x:f>XLOOKUP(C749,Products!A:A,Products!C:C,"")</x:f>
        <x:v>Electronics</x:v>
      </x:c>
    </x:row>
    <x:row r="750">
      <x:c r="A750" s="15" t="str">
        <x:v>ITEM00319_2</x:v>
      </x:c>
      <x:c r="B750" s="15" t="str">
        <x:v>ORD00319</x:v>
      </x:c>
      <x:c r="C750" s="15" t="str">
        <x:v>PROD026</x:v>
      </x:c>
      <x:c r="D750" s="15" t="n">
        <x:v>8</x:v>
      </x:c>
      <x:c r="E750" s="15" t="n">
        <x:v>3848.69</x:v>
      </x:c>
      <x:c r="F750" s="15" t="n">
        <x:v>0</x:v>
      </x:c>
      <x:c r="G750" s="15" t="n">
        <x:v>30789.52</x:v>
      </x:c>
      <x:c r="H750" s="15" t="n">
        <x:v>30789.52</x:v>
      </x:c>
      <x:c r="I750" s="15" t="n">
        <x:v>21072</x:v>
      </x:c>
      <x:c r="J750" s="15" t="n">
        <x:v>9717.52</x:v>
      </x:c>
      <x:c r="K750" t="str">
        <x:f>XLOOKUP(B750,Orders!A:A,Orders!E:E,"")</x:f>
        <x:v>North</x:v>
      </x:c>
      <x:c r="L750" t="n">
        <x:f>XLOOKUP(B750,Orders!A:A,Orders!B:B,"")</x:f>
        <x:v>45735</x:v>
      </x:c>
      <x:c r="M750" t="str">
        <x:f>XLOOKUP(C750,Products!A:A,Products!C:C,"")</x:f>
        <x:v>Accessories</x:v>
      </x:c>
    </x:row>
    <x:row r="751">
      <x:c r="A751" s="15" t="str">
        <x:v>ITEM00319_3</x:v>
      </x:c>
      <x:c r="B751" s="15" t="str">
        <x:v>ORD00319</x:v>
      </x:c>
      <x:c r="C751" s="15" t="str">
        <x:v>PROD008</x:v>
      </x:c>
      <x:c r="D751" s="15" t="n">
        <x:v>1</x:v>
      </x:c>
      <x:c r="E751" s="15" t="n">
        <x:v>8534.48</x:v>
      </x:c>
      <x:c r="F751" s="15" t="n">
        <x:v>0.05</x:v>
      </x:c>
      <x:c r="G751" s="15" t="n">
        <x:v>8534.48</x:v>
      </x:c>
      <x:c r="H751" s="15" t="n">
        <x:v>8107.76</x:v>
      </x:c>
      <x:c r="I751" s="15" t="n">
        <x:v>6197</x:v>
      </x:c>
      <x:c r="J751" s="15" t="n">
        <x:v>1910.76</x:v>
      </x:c>
      <x:c r="K751" t="str">
        <x:f>XLOOKUP(B751,Orders!A:A,Orders!E:E,"")</x:f>
        <x:v>North</x:v>
      </x:c>
      <x:c r="L751" t="n">
        <x:f>XLOOKUP(B751,Orders!A:A,Orders!B:B,"")</x:f>
        <x:v>45735</x:v>
      </x:c>
      <x:c r="M751" t="str">
        <x:f>XLOOKUP(C751,Products!A:A,Products!C:C,"")</x:f>
        <x:v>Office Supplies</x:v>
      </x:c>
    </x:row>
    <x:row r="752">
      <x:c r="A752" s="15" t="str">
        <x:v>ITEM00319_4</x:v>
      </x:c>
      <x:c r="B752" s="15" t="str">
        <x:v>ORD00319</x:v>
      </x:c>
      <x:c r="C752" s="15" t="str">
        <x:v>PROD001</x:v>
      </x:c>
      <x:c r="D752" s="15" t="n">
        <x:v>5</x:v>
      </x:c>
      <x:c r="E752" s="15" t="n">
        <x:v>8672.7</x:v>
      </x:c>
      <x:c r="F752" s="15" t="n">
        <x:v>0.15</x:v>
      </x:c>
      <x:c r="G752" s="15" t="n">
        <x:v>43363.5</x:v>
      </x:c>
      <x:c r="H752" s="15" t="n">
        <x:v>36858.97</x:v>
      </x:c>
      <x:c r="I752" s="15" t="n">
        <x:v>30815</x:v>
      </x:c>
      <x:c r="J752" s="15" t="n">
        <x:v>6043.97</x:v>
      </x:c>
      <x:c r="K752" t="str">
        <x:f>XLOOKUP(B752,Orders!A:A,Orders!E:E,"")</x:f>
        <x:v>North</x:v>
      </x:c>
      <x:c r="L752" t="n">
        <x:f>XLOOKUP(B752,Orders!A:A,Orders!B:B,"")</x:f>
        <x:v>45735</x:v>
      </x:c>
      <x:c r="M752" t="str">
        <x:f>XLOOKUP(C752,Products!A:A,Products!C:C,"")</x:f>
        <x:v>Office Supplies</x:v>
      </x:c>
    </x:row>
    <x:row r="753">
      <x:c r="A753" s="15" t="str">
        <x:v>ITEM00320_1</x:v>
      </x:c>
      <x:c r="B753" s="15" t="str">
        <x:v>ORD00320</x:v>
      </x:c>
      <x:c r="C753" s="15" t="str">
        <x:v>PROD025</x:v>
      </x:c>
      <x:c r="D753" s="15" t="n">
        <x:v>5</x:v>
      </x:c>
      <x:c r="E753" s="15" t="n">
        <x:v>1148.84</x:v>
      </x:c>
      <x:c r="F753" s="15" t="n">
        <x:v>0.15</x:v>
      </x:c>
      <x:c r="G753" s="15" t="n">
        <x:v>5744.2</x:v>
      </x:c>
      <x:c r="H753" s="15" t="n">
        <x:v>4882.57</x:v>
      </x:c>
      <x:c r="I753" s="15" t="n">
        <x:v>4390</x:v>
      </x:c>
      <x:c r="J753" s="15" t="n">
        <x:v>492.57</x:v>
      </x:c>
      <x:c r="K753" t="str">
        <x:f>XLOOKUP(B753,Orders!A:A,Orders!E:E,"")</x:f>
        <x:v>North</x:v>
      </x:c>
      <x:c r="L753" t="n">
        <x:f>XLOOKUP(B753,Orders!A:A,Orders!B:B,"")</x:f>
        <x:v>46155</x:v>
      </x:c>
      <x:c r="M753" t="str">
        <x:f>XLOOKUP(C753,Products!A:A,Products!C:C,"")</x:f>
        <x:v>Furniture</x:v>
      </x:c>
    </x:row>
    <x:row r="754">
      <x:c r="A754" s="15" t="str">
        <x:v>ITEM00320_2</x:v>
      </x:c>
      <x:c r="B754" s="15" t="str">
        <x:v>ORD00320</x:v>
      </x:c>
      <x:c r="C754" s="15" t="str">
        <x:v>PROD030</x:v>
      </x:c>
      <x:c r="D754" s="15" t="n">
        <x:v>3</x:v>
      </x:c>
      <x:c r="E754" s="15" t="n">
        <x:v>5180.7</x:v>
      </x:c>
      <x:c r="F754" s="15" t="n">
        <x:v>0.05</x:v>
      </x:c>
      <x:c r="G754" s="15" t="n">
        <x:v>15542.1</x:v>
      </x:c>
      <x:c r="H754" s="15" t="n">
        <x:v>14764.99</x:v>
      </x:c>
      <x:c r="I754" s="15" t="n">
        <x:v>11664</x:v>
      </x:c>
      <x:c r="J754" s="15" t="n">
        <x:v>3100.99</x:v>
      </x:c>
      <x:c r="K754" t="str">
        <x:f>XLOOKUP(B754,Orders!A:A,Orders!E:E,"")</x:f>
        <x:v>North</x:v>
      </x:c>
      <x:c r="L754" t="n">
        <x:f>XLOOKUP(B754,Orders!A:A,Orders!B:B,"")</x:f>
        <x:v>46155</x:v>
      </x:c>
      <x:c r="M754" t="str">
        <x:f>XLOOKUP(C754,Products!A:A,Products!C:C,"")</x:f>
        <x:v>Office Supplies</x:v>
      </x:c>
    </x:row>
    <x:row r="755">
      <x:c r="A755" s="15" t="str">
        <x:v>ITEM00320_3</x:v>
      </x:c>
      <x:c r="B755" s="15" t="str">
        <x:v>ORD00320</x:v>
      </x:c>
      <x:c r="C755" s="15" t="str">
        <x:v>PROD032</x:v>
      </x:c>
      <x:c r="D755" s="15" t="n">
        <x:v>6</x:v>
      </x:c>
      <x:c r="E755" s="15" t="n">
        <x:v>6307.06</x:v>
      </x:c>
      <x:c r="F755" s="15" t="n">
        <x:v>0.1</x:v>
      </x:c>
      <x:c r="G755" s="15" t="n">
        <x:v>37842.36</x:v>
      </x:c>
      <x:c r="H755" s="15" t="n">
        <x:v>34058.12</x:v>
      </x:c>
      <x:c r="I755" s="15" t="n">
        <x:v>30462</x:v>
      </x:c>
      <x:c r="J755" s="15" t="n">
        <x:v>3596.12</x:v>
      </x:c>
      <x:c r="K755" t="str">
        <x:f>XLOOKUP(B755,Orders!A:A,Orders!E:E,"")</x:f>
        <x:v>North</x:v>
      </x:c>
      <x:c r="L755" t="n">
        <x:f>XLOOKUP(B755,Orders!A:A,Orders!B:B,"")</x:f>
        <x:v>46155</x:v>
      </x:c>
      <x:c r="M755" t="str">
        <x:f>XLOOKUP(C755,Products!A:A,Products!C:C,"")</x:f>
        <x:v>Electronics</x:v>
      </x:c>
    </x:row>
    <x:row r="756">
      <x:c r="A756" s="15" t="str">
        <x:v>ITEM00320_4</x:v>
      </x:c>
      <x:c r="B756" s="15" t="str">
        <x:v>ORD00320</x:v>
      </x:c>
      <x:c r="C756" s="15" t="str">
        <x:v>PROD003</x:v>
      </x:c>
      <x:c r="D756" s="15" t="n">
        <x:v>1</x:v>
      </x:c>
      <x:c r="E756" s="15" t="n">
        <x:v>10757.89</x:v>
      </x:c>
      <x:c r="F756" s="15" t="n">
        <x:v>0</x:v>
      </x:c>
      <x:c r="G756" s="15" t="n">
        <x:v>10757.89</x:v>
      </x:c>
      <x:c r="H756" s="15" t="n">
        <x:v>10757.89</x:v>
      </x:c>
      <x:c r="I756" s="15" t="n">
        <x:v>7421</x:v>
      </x:c>
      <x:c r="J756" s="15" t="n">
        <x:v>3336.89</x:v>
      </x:c>
      <x:c r="K756" t="str">
        <x:f>XLOOKUP(B756,Orders!A:A,Orders!E:E,"")</x:f>
        <x:v>North</x:v>
      </x:c>
      <x:c r="L756" t="n">
        <x:f>XLOOKUP(B756,Orders!A:A,Orders!B:B,"")</x:f>
        <x:v>46155</x:v>
      </x:c>
      <x:c r="M756" t="str">
        <x:f>XLOOKUP(C756,Products!A:A,Products!C:C,"")</x:f>
        <x:v>Accessories</x:v>
      </x:c>
    </x:row>
    <x:row r="757">
      <x:c r="A757" s="15" t="str">
        <x:v>ITEM00321_1</x:v>
      </x:c>
      <x:c r="B757" s="15" t="str">
        <x:v>ORD00321</x:v>
      </x:c>
      <x:c r="C757" s="15" t="str">
        <x:v>PROD025</x:v>
      </x:c>
      <x:c r="D757" s="15" t="n">
        <x:v>8</x:v>
      </x:c>
      <x:c r="E757" s="15" t="n">
        <x:v>1148.84</x:v>
      </x:c>
      <x:c r="F757" s="15" t="n">
        <x:v>0.15</x:v>
      </x:c>
      <x:c r="G757" s="15" t="n">
        <x:v>9190.72</x:v>
      </x:c>
      <x:c r="H757" s="15" t="n">
        <x:v>7812.11</x:v>
      </x:c>
      <x:c r="I757" s="15" t="n">
        <x:v>7024</x:v>
      </x:c>
      <x:c r="J757" s="15" t="n">
        <x:v>788.11</x:v>
      </x:c>
      <x:c r="K757" t="str">
        <x:f>XLOOKUP(B757,Orders!A:A,Orders!E:E,"")</x:f>
        <x:v>West</x:v>
      </x:c>
      <x:c r="L757" t="n">
        <x:f>XLOOKUP(B757,Orders!A:A,Orders!B:B,"")</x:f>
        <x:v>46011</x:v>
      </x:c>
      <x:c r="M757" t="str">
        <x:f>XLOOKUP(C757,Products!A:A,Products!C:C,"")</x:f>
        <x:v>Furniture</x:v>
      </x:c>
    </x:row>
    <x:row r="758">
      <x:c r="A758" s="15" t="str">
        <x:v>ITEM00321_2</x:v>
      </x:c>
      <x:c r="B758" s="15" t="str">
        <x:v>ORD00321</x:v>
      </x:c>
      <x:c r="C758" s="15" t="str">
        <x:v>PROD013</x:v>
      </x:c>
      <x:c r="D758" s="15" t="n">
        <x:v>2</x:v>
      </x:c>
      <x:c r="E758" s="15" t="n">
        <x:v>7614.02</x:v>
      </x:c>
      <x:c r="F758" s="15" t="n">
        <x:v>0</x:v>
      </x:c>
      <x:c r="G758" s="15" t="n">
        <x:v>15228.04</x:v>
      </x:c>
      <x:c r="H758" s="15" t="n">
        <x:v>15228.04</x:v>
      </x:c>
      <x:c r="I758" s="15" t="n">
        <x:v>12154</x:v>
      </x:c>
      <x:c r="J758" s="15" t="n">
        <x:v>3074.04</x:v>
      </x:c>
      <x:c r="K758" t="str">
        <x:f>XLOOKUP(B758,Orders!A:A,Orders!E:E,"")</x:f>
        <x:v>West</x:v>
      </x:c>
      <x:c r="L758" t="n">
        <x:f>XLOOKUP(B758,Orders!A:A,Orders!B:B,"")</x:f>
        <x:v>46011</x:v>
      </x:c>
      <x:c r="M758" t="str">
        <x:f>XLOOKUP(C758,Products!A:A,Products!C:C,"")</x:f>
        <x:v>Furniture</x:v>
      </x:c>
    </x:row>
    <x:row r="759">
      <x:c r="A759" s="15" t="str">
        <x:v>ITEM00321_3</x:v>
      </x:c>
      <x:c r="B759" s="15" t="str">
        <x:v>ORD00321</x:v>
      </x:c>
      <x:c r="C759" s="15" t="str">
        <x:v>PROD036</x:v>
      </x:c>
      <x:c r="D759" s="15" t="n">
        <x:v>4</x:v>
      </x:c>
      <x:c r="E759" s="15" t="n">
        <x:v>7158.64</x:v>
      </x:c>
      <x:c r="F759" s="15" t="n">
        <x:v>0.1</x:v>
      </x:c>
      <x:c r="G759" s="15" t="n">
        <x:v>28634.56</x:v>
      </x:c>
      <x:c r="H759" s="15" t="n">
        <x:v>25771.1</x:v>
      </x:c>
      <x:c r="I759" s="15" t="n">
        <x:v>20684</x:v>
      </x:c>
      <x:c r="J759" s="15" t="n">
        <x:v>5087.1</x:v>
      </x:c>
      <x:c r="K759" t="str">
        <x:f>XLOOKUP(B759,Orders!A:A,Orders!E:E,"")</x:f>
        <x:v>West</x:v>
      </x:c>
      <x:c r="L759" t="n">
        <x:f>XLOOKUP(B759,Orders!A:A,Orders!B:B,"")</x:f>
        <x:v>46011</x:v>
      </x:c>
      <x:c r="M759" t="str">
        <x:f>XLOOKUP(C759,Products!A:A,Products!C:C,"")</x:f>
        <x:v>Accessories</x:v>
      </x:c>
    </x:row>
    <x:row r="760">
      <x:c r="A760" s="15" t="str">
        <x:v>ITEM00322_1</x:v>
      </x:c>
      <x:c r="B760" s="15" t="str">
        <x:v>ORD00322</x:v>
      </x:c>
      <x:c r="C760" s="15" t="str">
        <x:v>PROD008</x:v>
      </x:c>
      <x:c r="D760" s="15" t="n">
        <x:v>3</x:v>
      </x:c>
      <x:c r="E760" s="15" t="n">
        <x:v>8534.48</x:v>
      </x:c>
      <x:c r="F760" s="15" t="n">
        <x:v>0.15</x:v>
      </x:c>
      <x:c r="G760" s="15" t="n">
        <x:v>25603.44</x:v>
      </x:c>
      <x:c r="H760" s="15" t="n">
        <x:v>21762.92</x:v>
      </x:c>
      <x:c r="I760" s="15" t="n">
        <x:v>18591</x:v>
      </x:c>
      <x:c r="J760" s="15" t="n">
        <x:v>3171.92</x:v>
      </x:c>
      <x:c r="K760" t="str">
        <x:f>XLOOKUP(B760,Orders!A:A,Orders!E:E,"")</x:f>
        <x:v>North</x:v>
      </x:c>
      <x:c r="L760" t="n">
        <x:f>XLOOKUP(B760,Orders!A:A,Orders!B:B,"")</x:f>
        <x:v>45927</x:v>
      </x:c>
      <x:c r="M760" t="str">
        <x:f>XLOOKUP(C760,Products!A:A,Products!C:C,"")</x:f>
        <x:v>Office Supplies</x:v>
      </x:c>
    </x:row>
    <x:row r="761">
      <x:c r="A761" s="15" t="str">
        <x:v>ITEM00322_2</x:v>
      </x:c>
      <x:c r="B761" s="15" t="str">
        <x:v>ORD00322</x:v>
      </x:c>
      <x:c r="C761" s="15" t="str">
        <x:v>PROD038</x:v>
      </x:c>
      <x:c r="D761" s="15" t="n">
        <x:v>2</x:v>
      </x:c>
      <x:c r="E761" s="15" t="n">
        <x:v>5219.7</x:v>
      </x:c>
      <x:c r="F761" s="15" t="n">
        <x:v>0</x:v>
      </x:c>
      <x:c r="G761" s="15" t="n">
        <x:v>10439.4</x:v>
      </x:c>
      <x:c r="H761" s="15" t="n">
        <x:v>10439.4</x:v>
      </x:c>
      <x:c r="I761" s="15" t="n">
        <x:v>7872</x:v>
      </x:c>
      <x:c r="J761" s="15" t="n">
        <x:v>2567.4</x:v>
      </x:c>
      <x:c r="K761" t="str">
        <x:f>XLOOKUP(B761,Orders!A:A,Orders!E:E,"")</x:f>
        <x:v>North</x:v>
      </x:c>
      <x:c r="L761" t="n">
        <x:f>XLOOKUP(B761,Orders!A:A,Orders!B:B,"")</x:f>
        <x:v>45927</x:v>
      </x:c>
      <x:c r="M761" t="str">
        <x:f>XLOOKUP(C761,Products!A:A,Products!C:C,"")</x:f>
        <x:v>Office Supplies</x:v>
      </x:c>
    </x:row>
    <x:row r="762">
      <x:c r="A762" s="15" t="str">
        <x:v>ITEM00323_1</x:v>
      </x:c>
      <x:c r="B762" s="15" t="str">
        <x:v>ORD00323</x:v>
      </x:c>
      <x:c r="C762" s="15" t="str">
        <x:v>PROD015</x:v>
      </x:c>
      <x:c r="D762" s="15" t="n">
        <x:v>3</x:v>
      </x:c>
      <x:c r="E762" s="15" t="n">
        <x:v>5903.1</x:v>
      </x:c>
      <x:c r="F762" s="15" t="n">
        <x:v>0</x:v>
      </x:c>
      <x:c r="G762" s="15" t="n">
        <x:v>17709.3</x:v>
      </x:c>
      <x:c r="H762" s="15" t="n">
        <x:v>17709.3</x:v>
      </x:c>
      <x:c r="I762" s="15" t="n">
        <x:v>14355</x:v>
      </x:c>
      <x:c r="J762" s="15" t="n">
        <x:v>3354.3</x:v>
      </x:c>
      <x:c r="K762" t="str">
        <x:f>XLOOKUP(B762,Orders!A:A,Orders!E:E,"")</x:f>
        <x:v>East</x:v>
      </x:c>
      <x:c r="L762" t="n">
        <x:f>XLOOKUP(B762,Orders!A:A,Orders!B:B,"")</x:f>
        <x:v>45813</x:v>
      </x:c>
      <x:c r="M762" t="str">
        <x:f>XLOOKUP(C762,Products!A:A,Products!C:C,"")</x:f>
        <x:v>Electronics</x:v>
      </x:c>
    </x:row>
    <x:row r="763">
      <x:c r="A763" s="15" t="str">
        <x:v>ITEM00323_2</x:v>
      </x:c>
      <x:c r="B763" s="15" t="str">
        <x:v>ORD00323</x:v>
      </x:c>
      <x:c r="C763" s="15" t="str">
        <x:v>PROD015</x:v>
      </x:c>
      <x:c r="D763" s="15" t="n">
        <x:v>8</x:v>
      </x:c>
      <x:c r="E763" s="15" t="n">
        <x:v>5903.1</x:v>
      </x:c>
      <x:c r="F763" s="15" t="n">
        <x:v>0.1</x:v>
      </x:c>
      <x:c r="G763" s="15" t="n">
        <x:v>47224.8</x:v>
      </x:c>
      <x:c r="H763" s="15" t="n">
        <x:v>42502.32</x:v>
      </x:c>
      <x:c r="I763" s="15" t="n">
        <x:v>38280</x:v>
      </x:c>
      <x:c r="J763" s="15" t="n">
        <x:v>4222.32</x:v>
      </x:c>
      <x:c r="K763" t="str">
        <x:f>XLOOKUP(B763,Orders!A:A,Orders!E:E,"")</x:f>
        <x:v>East</x:v>
      </x:c>
      <x:c r="L763" t="n">
        <x:f>XLOOKUP(B763,Orders!A:A,Orders!B:B,"")</x:f>
        <x:v>45813</x:v>
      </x:c>
      <x:c r="M763" t="str">
        <x:f>XLOOKUP(C763,Products!A:A,Products!C:C,"")</x:f>
        <x:v>Electronics</x:v>
      </x:c>
    </x:row>
    <x:row r="764">
      <x:c r="A764" s="15" t="str">
        <x:v>ITEM00324_1</x:v>
      </x:c>
      <x:c r="B764" s="15" t="str">
        <x:v>ORD00324</x:v>
      </x:c>
      <x:c r="C764" s="15" t="str">
        <x:v>PROD040</x:v>
      </x:c>
      <x:c r="D764" s="15" t="n">
        <x:v>2</x:v>
      </x:c>
      <x:c r="E764" s="15" t="n">
        <x:v>8561.07</x:v>
      </x:c>
      <x:c r="F764" s="15" t="n">
        <x:v>0.1</x:v>
      </x:c>
      <x:c r="G764" s="15" t="n">
        <x:v>17122.14</x:v>
      </x:c>
      <x:c r="H764" s="15" t="n">
        <x:v>15409.93</x:v>
      </x:c>
      <x:c r="I764" s="15" t="n">
        <x:v>13682</x:v>
      </x:c>
      <x:c r="J764" s="15" t="n">
        <x:v>1727.93</x:v>
      </x:c>
      <x:c r="K764" t="str">
        <x:f>XLOOKUP(B764,Orders!A:A,Orders!E:E,"")</x:f>
        <x:v>North</x:v>
      </x:c>
      <x:c r="L764" t="n">
        <x:f>XLOOKUP(B764,Orders!A:A,Orders!B:B,"")</x:f>
        <x:v>46003</x:v>
      </x:c>
      <x:c r="M764" t="str">
        <x:f>XLOOKUP(C764,Products!A:A,Products!C:C,"")</x:f>
        <x:v>Electronics</x:v>
      </x:c>
    </x:row>
    <x:row r="765">
      <x:c r="A765" s="15" t="str">
        <x:v>ITEM00324_2</x:v>
      </x:c>
      <x:c r="B765" s="15" t="str">
        <x:v>ORD00324</x:v>
      </x:c>
      <x:c r="C765" s="15" t="str">
        <x:v>PROD008</x:v>
      </x:c>
      <x:c r="D765" s="15" t="n">
        <x:v>6</x:v>
      </x:c>
      <x:c r="E765" s="15" t="n">
        <x:v>8534.48</x:v>
      </x:c>
      <x:c r="F765" s="15" t="n">
        <x:v>0.15</x:v>
      </x:c>
      <x:c r="G765" s="15" t="n">
        <x:v>51206.88</x:v>
      </x:c>
      <x:c r="H765" s="15" t="n">
        <x:v>43525.85</x:v>
      </x:c>
      <x:c r="I765" s="15" t="n">
        <x:v>37182</x:v>
      </x:c>
      <x:c r="J765" s="15" t="n">
        <x:v>6343.85</x:v>
      </x:c>
      <x:c r="K765" t="str">
        <x:f>XLOOKUP(B765,Orders!A:A,Orders!E:E,"")</x:f>
        <x:v>North</x:v>
      </x:c>
      <x:c r="L765" t="n">
        <x:f>XLOOKUP(B765,Orders!A:A,Orders!B:B,"")</x:f>
        <x:v>46003</x:v>
      </x:c>
      <x:c r="M765" t="str">
        <x:f>XLOOKUP(C765,Products!A:A,Products!C:C,"")</x:f>
        <x:v>Office Supplies</x:v>
      </x:c>
    </x:row>
    <x:row r="766">
      <x:c r="A766" s="15" t="str">
        <x:v>ITEM00324_3</x:v>
      </x:c>
      <x:c r="B766" s="15" t="str">
        <x:v>ORD00324</x:v>
      </x:c>
      <x:c r="C766" s="15" t="str">
        <x:v>PROD031</x:v>
      </x:c>
      <x:c r="D766" s="15" t="n">
        <x:v>7</x:v>
      </x:c>
      <x:c r="E766" s="15" t="n">
        <x:v>3371.81</x:v>
      </x:c>
      <x:c r="F766" s="15" t="n">
        <x:v>0.15</x:v>
      </x:c>
      <x:c r="G766" s="15" t="n">
        <x:v>23602.67</x:v>
      </x:c>
      <x:c r="H766" s="15" t="n">
        <x:v>20062.27</x:v>
      </x:c>
      <x:c r="I766" s="15" t="n">
        <x:v>19579</x:v>
      </x:c>
      <x:c r="J766" s="15" t="n">
        <x:v>483.27</x:v>
      </x:c>
      <x:c r="K766" t="str">
        <x:f>XLOOKUP(B766,Orders!A:A,Orders!E:E,"")</x:f>
        <x:v>North</x:v>
      </x:c>
      <x:c r="L766" t="n">
        <x:f>XLOOKUP(B766,Orders!A:A,Orders!B:B,"")</x:f>
        <x:v>46003</x:v>
      </x:c>
      <x:c r="M766" t="str">
        <x:f>XLOOKUP(C766,Products!A:A,Products!C:C,"")</x:f>
        <x:v>Furniture</x:v>
      </x:c>
    </x:row>
    <x:row r="767">
      <x:c r="A767" s="15" t="str">
        <x:v>ITEM00324_4</x:v>
      </x:c>
      <x:c r="B767" s="15" t="str">
        <x:v>ORD00324</x:v>
      </x:c>
      <x:c r="C767" s="15" t="str">
        <x:v>PROD014</x:v>
      </x:c>
      <x:c r="D767" s="15" t="n">
        <x:v>5</x:v>
      </x:c>
      <x:c r="E767" s="15" t="n">
        <x:v>1611.65</x:v>
      </x:c>
      <x:c r="F767" s="15" t="n">
        <x:v>0.1</x:v>
      </x:c>
      <x:c r="G767" s="15" t="n">
        <x:v>8058.25</x:v>
      </x:c>
      <x:c r="H767" s="15" t="n">
        <x:v>7252.43</x:v>
      </x:c>
      <x:c r="I767" s="15" t="n">
        <x:v>6165</x:v>
      </x:c>
      <x:c r="J767" s="15" t="n">
        <x:v>1087.43</x:v>
      </x:c>
      <x:c r="K767" t="str">
        <x:f>XLOOKUP(B767,Orders!A:A,Orders!E:E,"")</x:f>
        <x:v>North</x:v>
      </x:c>
      <x:c r="L767" t="n">
        <x:f>XLOOKUP(B767,Orders!A:A,Orders!B:B,"")</x:f>
        <x:v>46003</x:v>
      </x:c>
      <x:c r="M767" t="str">
        <x:f>XLOOKUP(C767,Products!A:A,Products!C:C,"")</x:f>
        <x:v>Office Supplies</x:v>
      </x:c>
    </x:row>
    <x:row r="768">
      <x:c r="A768" s="15" t="str">
        <x:v>ITEM00325_1</x:v>
      </x:c>
      <x:c r="B768" s="15" t="str">
        <x:v>ORD00325</x:v>
      </x:c>
      <x:c r="C768" s="15" t="str">
        <x:v>PROD007</x:v>
      </x:c>
      <x:c r="D768" s="15" t="n">
        <x:v>3</x:v>
      </x:c>
      <x:c r="E768" s="15" t="n">
        <x:v>5013.07</x:v>
      </x:c>
      <x:c r="F768" s="15" t="n">
        <x:v>0.15</x:v>
      </x:c>
      <x:c r="G768" s="15" t="n">
        <x:v>15039.21</x:v>
      </x:c>
      <x:c r="H768" s="15" t="n">
        <x:v>12783.33</x:v>
      </x:c>
      <x:c r="I768" s="15" t="n">
        <x:v>11823</x:v>
      </x:c>
      <x:c r="J768" s="15" t="n">
        <x:v>960.33</x:v>
      </x:c>
      <x:c r="K768" t="str">
        <x:f>XLOOKUP(B768,Orders!A:A,Orders!E:E,"")</x:f>
        <x:v>East</x:v>
      </x:c>
      <x:c r="L768" t="n">
        <x:f>XLOOKUP(B768,Orders!A:A,Orders!B:B,"")</x:f>
        <x:v>45713</x:v>
      </x:c>
      <x:c r="M768" t="str">
        <x:f>XLOOKUP(C768,Products!A:A,Products!C:C,"")</x:f>
        <x:v>Electronics</x:v>
      </x:c>
    </x:row>
    <x:row r="769">
      <x:c r="A769" s="15" t="str">
        <x:v>ITEM00325_2</x:v>
      </x:c>
      <x:c r="B769" s="15" t="str">
        <x:v>ORD00325</x:v>
      </x:c>
      <x:c r="C769" s="15" t="str">
        <x:v>PROD004</x:v>
      </x:c>
      <x:c r="D769" s="15" t="n">
        <x:v>6</x:v>
      </x:c>
      <x:c r="E769" s="15" t="n">
        <x:v>5435.39</x:v>
      </x:c>
      <x:c r="F769" s="15" t="n">
        <x:v>0</x:v>
      </x:c>
      <x:c r="G769" s="15" t="n">
        <x:v>32612.34</x:v>
      </x:c>
      <x:c r="H769" s="15" t="n">
        <x:v>32612.34</x:v>
      </x:c>
      <x:c r="I769" s="15" t="n">
        <x:v>24846</x:v>
      </x:c>
      <x:c r="J769" s="15" t="n">
        <x:v>7766.34</x:v>
      </x:c>
      <x:c r="K769" t="str">
        <x:f>XLOOKUP(B769,Orders!A:A,Orders!E:E,"")</x:f>
        <x:v>East</x:v>
      </x:c>
      <x:c r="L769" t="n">
        <x:f>XLOOKUP(B769,Orders!A:A,Orders!B:B,"")</x:f>
        <x:v>45713</x:v>
      </x:c>
      <x:c r="M769" t="str">
        <x:f>XLOOKUP(C769,Products!A:A,Products!C:C,"")</x:f>
        <x:v>Office Supplies</x:v>
      </x:c>
    </x:row>
    <x:row r="770">
      <x:c r="A770" s="15" t="str">
        <x:v>ITEM00326_1</x:v>
      </x:c>
      <x:c r="B770" s="15" t="str">
        <x:v>ORD00326</x:v>
      </x:c>
      <x:c r="C770" s="15" t="str">
        <x:v>PROD020</x:v>
      </x:c>
      <x:c r="D770" s="15" t="n">
        <x:v>3</x:v>
      </x:c>
      <x:c r="E770" s="15" t="n">
        <x:v>6564.04</x:v>
      </x:c>
      <x:c r="F770" s="15" t="n">
        <x:v>0</x:v>
      </x:c>
      <x:c r="G770" s="15" t="n">
        <x:v>19692.12</x:v>
      </x:c>
      <x:c r="H770" s="15" t="n">
        <x:v>19692.12</x:v>
      </x:c>
      <x:c r="I770" s="15" t="n">
        <x:v>13755</x:v>
      </x:c>
      <x:c r="J770" s="15" t="n">
        <x:v>5937.12</x:v>
      </x:c>
      <x:c r="K770" t="str">
        <x:f>XLOOKUP(B770,Orders!A:A,Orders!E:E,"")</x:f>
        <x:v>East</x:v>
      </x:c>
      <x:c r="L770" t="n">
        <x:f>XLOOKUP(B770,Orders!A:A,Orders!B:B,"")</x:f>
        <x:v>46175</x:v>
      </x:c>
      <x:c r="M770" t="str">
        <x:f>XLOOKUP(C770,Products!A:A,Products!C:C,"")</x:f>
        <x:v>Accessories</x:v>
      </x:c>
    </x:row>
    <x:row r="771">
      <x:c r="A771" s="15" t="str">
        <x:v>ITEM00326_2</x:v>
      </x:c>
      <x:c r="B771" s="15" t="str">
        <x:v>ORD00326</x:v>
      </x:c>
      <x:c r="C771" s="15" t="str">
        <x:v>PROD032</x:v>
      </x:c>
      <x:c r="D771" s="15" t="n">
        <x:v>5</x:v>
      </x:c>
      <x:c r="E771" s="15" t="n">
        <x:v>6307.06</x:v>
      </x:c>
      <x:c r="F771" s="15" t="n">
        <x:v>0.05</x:v>
      </x:c>
      <x:c r="G771" s="15" t="n">
        <x:v>31535.3</x:v>
      </x:c>
      <x:c r="H771" s="15" t="n">
        <x:v>29958.53</x:v>
      </x:c>
      <x:c r="I771" s="15" t="n">
        <x:v>25385</x:v>
      </x:c>
      <x:c r="J771" s="15" t="n">
        <x:v>4573.53</x:v>
      </x:c>
      <x:c r="K771" t="str">
        <x:f>XLOOKUP(B771,Orders!A:A,Orders!E:E,"")</x:f>
        <x:v>East</x:v>
      </x:c>
      <x:c r="L771" t="n">
        <x:f>XLOOKUP(B771,Orders!A:A,Orders!B:B,"")</x:f>
        <x:v>46175</x:v>
      </x:c>
      <x:c r="M771" t="str">
        <x:f>XLOOKUP(C771,Products!A:A,Products!C:C,"")</x:f>
        <x:v>Electronics</x:v>
      </x:c>
    </x:row>
    <x:row r="772">
      <x:c r="A772" s="15" t="str">
        <x:v>ITEM00326_3</x:v>
      </x:c>
      <x:c r="B772" s="15" t="str">
        <x:v>ORD00326</x:v>
      </x:c>
      <x:c r="C772" s="15" t="str">
        <x:v>PROD003</x:v>
      </x:c>
      <x:c r="D772" s="15" t="n">
        <x:v>3</x:v>
      </x:c>
      <x:c r="E772" s="15" t="n">
        <x:v>10757.89</x:v>
      </x:c>
      <x:c r="F772" s="15" t="n">
        <x:v>0.15</x:v>
      </x:c>
      <x:c r="G772" s="15" t="n">
        <x:v>32273.67</x:v>
      </x:c>
      <x:c r="H772" s="15" t="n">
        <x:v>27432.62</x:v>
      </x:c>
      <x:c r="I772" s="15" t="n">
        <x:v>22263</x:v>
      </x:c>
      <x:c r="J772" s="15" t="n">
        <x:v>5169.62</x:v>
      </x:c>
      <x:c r="K772" t="str">
        <x:f>XLOOKUP(B772,Orders!A:A,Orders!E:E,"")</x:f>
        <x:v>East</x:v>
      </x:c>
      <x:c r="L772" t="n">
        <x:f>XLOOKUP(B772,Orders!A:A,Orders!B:B,"")</x:f>
        <x:v>46175</x:v>
      </x:c>
      <x:c r="M772" t="str">
        <x:f>XLOOKUP(C772,Products!A:A,Products!C:C,"")</x:f>
        <x:v>Accessories</x:v>
      </x:c>
    </x:row>
    <x:row r="773">
      <x:c r="A773" s="15" t="str">
        <x:v>ITEM00327_1</x:v>
      </x:c>
      <x:c r="B773" s="15" t="str">
        <x:v>ORD00327</x:v>
      </x:c>
      <x:c r="C773" s="15" t="str">
        <x:v>PROD037</x:v>
      </x:c>
      <x:c r="D773" s="15" t="n">
        <x:v>5</x:v>
      </x:c>
      <x:c r="E773" s="15" t="n">
        <x:v>9876.8</x:v>
      </x:c>
      <x:c r="F773" s="15" t="n">
        <x:v>0.05</x:v>
      </x:c>
      <x:c r="G773" s="15" t="n">
        <x:v>49384</x:v>
      </x:c>
      <x:c r="H773" s="15" t="n">
        <x:v>46914.8</x:v>
      </x:c>
      <x:c r="I773" s="15" t="n">
        <x:v>35620</x:v>
      </x:c>
      <x:c r="J773" s="15" t="n">
        <x:v>11294.8</x:v>
      </x:c>
      <x:c r="K773" t="str">
        <x:f>XLOOKUP(B773,Orders!A:A,Orders!E:E,"")</x:f>
        <x:v>North</x:v>
      </x:c>
      <x:c r="L773" t="n">
        <x:f>XLOOKUP(B773,Orders!A:A,Orders!B:B,"")</x:f>
        <x:v>46044</x:v>
      </x:c>
      <x:c r="M773" t="str">
        <x:f>XLOOKUP(C773,Products!A:A,Products!C:C,"")</x:f>
        <x:v>Accessories</x:v>
      </x:c>
    </x:row>
    <x:row r="774">
      <x:c r="A774" s="15" t="str">
        <x:v>ITEM00328_1</x:v>
      </x:c>
      <x:c r="B774" s="15" t="str">
        <x:v>ORD00328</x:v>
      </x:c>
      <x:c r="C774" s="15" t="str">
        <x:v>PROD040</x:v>
      </x:c>
      <x:c r="D774" s="15" t="n">
        <x:v>5</x:v>
      </x:c>
      <x:c r="E774" s="15" t="n">
        <x:v>8561.07</x:v>
      </x:c>
      <x:c r="F774" s="15" t="n">
        <x:v>0</x:v>
      </x:c>
      <x:c r="G774" s="15" t="n">
        <x:v>42805.35</x:v>
      </x:c>
      <x:c r="H774" s="15" t="n">
        <x:v>42805.35</x:v>
      </x:c>
      <x:c r="I774" s="15" t="n">
        <x:v>34205</x:v>
      </x:c>
      <x:c r="J774" s="15" t="n">
        <x:v>8600.35</x:v>
      </x:c>
      <x:c r="K774" t="str">
        <x:f>XLOOKUP(B774,Orders!A:A,Orders!E:E,"")</x:f>
        <x:v>North</x:v>
      </x:c>
      <x:c r="L774" t="n">
        <x:f>XLOOKUP(B774,Orders!A:A,Orders!B:B,"")</x:f>
        <x:v>45822</x:v>
      </x:c>
      <x:c r="M774" t="str">
        <x:f>XLOOKUP(C774,Products!A:A,Products!C:C,"")</x:f>
        <x:v>Electronics</x:v>
      </x:c>
    </x:row>
    <x:row r="775">
      <x:c r="A775" s="15" t="str">
        <x:v>ITEM00328_2</x:v>
      </x:c>
      <x:c r="B775" s="15" t="str">
        <x:v>ORD00328</x:v>
      </x:c>
      <x:c r="C775" s="15" t="str">
        <x:v>PROD038</x:v>
      </x:c>
      <x:c r="D775" s="15" t="n">
        <x:v>1</x:v>
      </x:c>
      <x:c r="E775" s="15" t="n">
        <x:v>5219.7</x:v>
      </x:c>
      <x:c r="F775" s="15" t="n">
        <x:v>0.1</x:v>
      </x:c>
      <x:c r="G775" s="15" t="n">
        <x:v>5219.7</x:v>
      </x:c>
      <x:c r="H775" s="15" t="n">
        <x:v>4697.73</x:v>
      </x:c>
      <x:c r="I775" s="15" t="n">
        <x:v>3936</x:v>
      </x:c>
      <x:c r="J775" s="15" t="n">
        <x:v>761.73</x:v>
      </x:c>
      <x:c r="K775" t="str">
        <x:f>XLOOKUP(B775,Orders!A:A,Orders!E:E,"")</x:f>
        <x:v>North</x:v>
      </x:c>
      <x:c r="L775" t="n">
        <x:f>XLOOKUP(B775,Orders!A:A,Orders!B:B,"")</x:f>
        <x:v>45822</x:v>
      </x:c>
      <x:c r="M775" t="str">
        <x:f>XLOOKUP(C775,Products!A:A,Products!C:C,"")</x:f>
        <x:v>Office Supplies</x:v>
      </x:c>
    </x:row>
    <x:row r="776">
      <x:c r="A776" s="15" t="str">
        <x:v>ITEM00328_3</x:v>
      </x:c>
      <x:c r="B776" s="15" t="str">
        <x:v>ORD00328</x:v>
      </x:c>
      <x:c r="C776" s="15" t="str">
        <x:v>PROD035</x:v>
      </x:c>
      <x:c r="D776" s="15" t="n">
        <x:v>7</x:v>
      </x:c>
      <x:c r="E776" s="15" t="n">
        <x:v>3972.26</x:v>
      </x:c>
      <x:c r="F776" s="15" t="n">
        <x:v>0.05</x:v>
      </x:c>
      <x:c r="G776" s="15" t="n">
        <x:v>27805.82</x:v>
      </x:c>
      <x:c r="H776" s="15" t="n">
        <x:v>26415.53</x:v>
      </x:c>
      <x:c r="I776" s="15" t="n">
        <x:v>22309</x:v>
      </x:c>
      <x:c r="J776" s="15" t="n">
        <x:v>4106.53</x:v>
      </x:c>
      <x:c r="K776" t="str">
        <x:f>XLOOKUP(B776,Orders!A:A,Orders!E:E,"")</x:f>
        <x:v>North</x:v>
      </x:c>
      <x:c r="L776" t="n">
        <x:f>XLOOKUP(B776,Orders!A:A,Orders!B:B,"")</x:f>
        <x:v>45822</x:v>
      </x:c>
      <x:c r="M776" t="str">
        <x:f>XLOOKUP(C776,Products!A:A,Products!C:C,"")</x:f>
        <x:v>Electronics</x:v>
      </x:c>
    </x:row>
    <x:row r="777">
      <x:c r="A777" s="15" t="str">
        <x:v>ITEM00328_4</x:v>
      </x:c>
      <x:c r="B777" s="15" t="str">
        <x:v>ORD00328</x:v>
      </x:c>
      <x:c r="C777" s="15" t="str">
        <x:v>PROD023</x:v>
      </x:c>
      <x:c r="D777" s="15" t="n">
        <x:v>3</x:v>
      </x:c>
      <x:c r="E777" s="15" t="n">
        <x:v>5153.56</x:v>
      </x:c>
      <x:c r="F777" s="15" t="n">
        <x:v>0.1</x:v>
      </x:c>
      <x:c r="G777" s="15" t="n">
        <x:v>15460.68</x:v>
      </x:c>
      <x:c r="H777" s="15" t="n">
        <x:v>13914.61</x:v>
      </x:c>
      <x:c r="I777" s="15" t="n">
        <x:v>11874</x:v>
      </x:c>
      <x:c r="J777" s="15" t="n">
        <x:v>2040.61</x:v>
      </x:c>
      <x:c r="K777" t="str">
        <x:f>XLOOKUP(B777,Orders!A:A,Orders!E:E,"")</x:f>
        <x:v>North</x:v>
      </x:c>
      <x:c r="L777" t="n">
        <x:f>XLOOKUP(B777,Orders!A:A,Orders!B:B,"")</x:f>
        <x:v>45822</x:v>
      </x:c>
      <x:c r="M777" t="str">
        <x:f>XLOOKUP(C777,Products!A:A,Products!C:C,"")</x:f>
        <x:v>Electronics</x:v>
      </x:c>
    </x:row>
    <x:row r="778">
      <x:c r="A778" s="15" t="str">
        <x:v>ITEM00329_1</x:v>
      </x:c>
      <x:c r="B778" s="15" t="str">
        <x:v>ORD00329</x:v>
      </x:c>
      <x:c r="C778" s="15" t="str">
        <x:v>PROD013</x:v>
      </x:c>
      <x:c r="D778" s="15" t="n">
        <x:v>1</x:v>
      </x:c>
      <x:c r="E778" s="15" t="n">
        <x:v>7614.02</x:v>
      </x:c>
      <x:c r="F778" s="15" t="n">
        <x:v>0</x:v>
      </x:c>
      <x:c r="G778" s="15" t="n">
        <x:v>7614.02</x:v>
      </x:c>
      <x:c r="H778" s="15" t="n">
        <x:v>7614.02</x:v>
      </x:c>
      <x:c r="I778" s="15" t="n">
        <x:v>6077</x:v>
      </x:c>
      <x:c r="J778" s="15" t="n">
        <x:v>1537.02</x:v>
      </x:c>
      <x:c r="K778" t="str">
        <x:f>XLOOKUP(B778,Orders!A:A,Orders!E:E,"")</x:f>
        <x:v>North</x:v>
      </x:c>
      <x:c r="L778" t="n">
        <x:f>XLOOKUP(B778,Orders!A:A,Orders!B:B,"")</x:f>
        <x:v>45686</x:v>
      </x:c>
      <x:c r="M778" t="str">
        <x:f>XLOOKUP(C778,Products!A:A,Products!C:C,"")</x:f>
        <x:v>Furniture</x:v>
      </x:c>
    </x:row>
    <x:row r="779">
      <x:c r="A779" s="15" t="str">
        <x:v>ITEM00330_1</x:v>
      </x:c>
      <x:c r="B779" s="15" t="str">
        <x:v>ORD00330</x:v>
      </x:c>
      <x:c r="C779" s="15" t="str">
        <x:v>PROD024</x:v>
      </x:c>
      <x:c r="D779" s="15" t="n">
        <x:v>7</x:v>
      </x:c>
      <x:c r="E779" s="15" t="n">
        <x:v>4018</x:v>
      </x:c>
      <x:c r="F779" s="15" t="n">
        <x:v>0</x:v>
      </x:c>
      <x:c r="G779" s="15" t="n">
        <x:v>28126</x:v>
      </x:c>
      <x:c r="H779" s="15" t="n">
        <x:v>28126</x:v>
      </x:c>
      <x:c r="I779" s="15" t="n">
        <x:v>22344</x:v>
      </x:c>
      <x:c r="J779" s="15" t="n">
        <x:v>5782</x:v>
      </x:c>
      <x:c r="K779" t="str">
        <x:f>XLOOKUP(B779,Orders!A:A,Orders!E:E,"")</x:f>
        <x:v>East</x:v>
      </x:c>
      <x:c r="L779" t="n">
        <x:f>XLOOKUP(B779,Orders!A:A,Orders!B:B,"")</x:f>
        <x:v>45688</x:v>
      </x:c>
      <x:c r="M779" t="str">
        <x:f>XLOOKUP(C779,Products!A:A,Products!C:C,"")</x:f>
        <x:v>Furniture</x:v>
      </x:c>
    </x:row>
    <x:row r="780">
      <x:c r="A780" s="15" t="str">
        <x:v>ITEM00330_2</x:v>
      </x:c>
      <x:c r="B780" s="15" t="str">
        <x:v>ORD00330</x:v>
      </x:c>
      <x:c r="C780" s="15" t="str">
        <x:v>PROD036</x:v>
      </x:c>
      <x:c r="D780" s="15" t="n">
        <x:v>1</x:v>
      </x:c>
      <x:c r="E780" s="15" t="n">
        <x:v>7158.64</x:v>
      </x:c>
      <x:c r="F780" s="15" t="n">
        <x:v>0</x:v>
      </x:c>
      <x:c r="G780" s="15" t="n">
        <x:v>7158.64</x:v>
      </x:c>
      <x:c r="H780" s="15" t="n">
        <x:v>7158.64</x:v>
      </x:c>
      <x:c r="I780" s="15" t="n">
        <x:v>5171</x:v>
      </x:c>
      <x:c r="J780" s="15" t="n">
        <x:v>1987.64</x:v>
      </x:c>
      <x:c r="K780" t="str">
        <x:f>XLOOKUP(B780,Orders!A:A,Orders!E:E,"")</x:f>
        <x:v>East</x:v>
      </x:c>
      <x:c r="L780" t="n">
        <x:f>XLOOKUP(B780,Orders!A:A,Orders!B:B,"")</x:f>
        <x:v>45688</x:v>
      </x:c>
      <x:c r="M780" t="str">
        <x:f>XLOOKUP(C780,Products!A:A,Products!C:C,"")</x:f>
        <x:v>Accessories</x:v>
      </x:c>
    </x:row>
    <x:row r="781">
      <x:c r="A781" s="15" t="str">
        <x:v>ITEM00331_1</x:v>
      </x:c>
      <x:c r="B781" s="15" t="str">
        <x:v>ORD00331</x:v>
      </x:c>
      <x:c r="C781" s="15" t="str">
        <x:v>PROD035</x:v>
      </x:c>
      <x:c r="D781" s="15" t="n">
        <x:v>2</x:v>
      </x:c>
      <x:c r="E781" s="15" t="n">
        <x:v>3972.26</x:v>
      </x:c>
      <x:c r="F781" s="15" t="n">
        <x:v>0.15</x:v>
      </x:c>
      <x:c r="G781" s="15" t="n">
        <x:v>7944.52</x:v>
      </x:c>
      <x:c r="H781" s="15" t="n">
        <x:v>6752.84</x:v>
      </x:c>
      <x:c r="I781" s="15" t="n">
        <x:v>6374</x:v>
      </x:c>
      <x:c r="J781" s="15" t="n">
        <x:v>378.84</x:v>
      </x:c>
      <x:c r="K781" t="str">
        <x:f>XLOOKUP(B781,Orders!A:A,Orders!E:E,"")</x:f>
        <x:v>West</x:v>
      </x:c>
      <x:c r="L781" t="n">
        <x:f>XLOOKUP(B781,Orders!A:A,Orders!B:B,"")</x:f>
        <x:v>45661</x:v>
      </x:c>
      <x:c r="M781" t="str">
        <x:f>XLOOKUP(C781,Products!A:A,Products!C:C,"")</x:f>
        <x:v>Electronics</x:v>
      </x:c>
    </x:row>
    <x:row r="782">
      <x:c r="A782" s="15" t="str">
        <x:v>ITEM00332_1</x:v>
      </x:c>
      <x:c r="B782" s="15" t="str">
        <x:v>ORD00332</x:v>
      </x:c>
      <x:c r="C782" s="15" t="str">
        <x:v>PROD022</x:v>
      </x:c>
      <x:c r="D782" s="15" t="n">
        <x:v>8</x:v>
      </x:c>
      <x:c r="E782" s="15" t="n">
        <x:v>7775.36</x:v>
      </x:c>
      <x:c r="F782" s="15" t="n">
        <x:v>0.05</x:v>
      </x:c>
      <x:c r="G782" s="15" t="n">
        <x:v>62202.88</x:v>
      </x:c>
      <x:c r="H782" s="15" t="n">
        <x:v>59092.74</x:v>
      </x:c>
      <x:c r="I782" s="15" t="n">
        <x:v>50648</x:v>
      </x:c>
      <x:c r="J782" s="15" t="n">
        <x:v>8444.74</x:v>
      </x:c>
      <x:c r="K782" t="str">
        <x:f>XLOOKUP(B782,Orders!A:A,Orders!E:E,"")</x:f>
        <x:v>East</x:v>
      </x:c>
      <x:c r="L782" t="n">
        <x:f>XLOOKUP(B782,Orders!A:A,Orders!B:B,"")</x:f>
        <x:v>45860</x:v>
      </x:c>
      <x:c r="M782" t="str">
        <x:f>XLOOKUP(C782,Products!A:A,Products!C:C,"")</x:f>
        <x:v>Furniture</x:v>
      </x:c>
    </x:row>
    <x:row r="783">
      <x:c r="A783" s="15" t="str">
        <x:v>ITEM00332_2</x:v>
      </x:c>
      <x:c r="B783" s="15" t="str">
        <x:v>ORD00332</x:v>
      </x:c>
      <x:c r="C783" s="15" t="str">
        <x:v>PROD013</x:v>
      </x:c>
      <x:c r="D783" s="15" t="n">
        <x:v>3</x:v>
      </x:c>
      <x:c r="E783" s="15" t="n">
        <x:v>7614.02</x:v>
      </x:c>
      <x:c r="F783" s="15" t="n">
        <x:v>0</x:v>
      </x:c>
      <x:c r="G783" s="15" t="n">
        <x:v>22842.06</x:v>
      </x:c>
      <x:c r="H783" s="15" t="n">
        <x:v>22842.06</x:v>
      </x:c>
      <x:c r="I783" s="15" t="n">
        <x:v>18231</x:v>
      </x:c>
      <x:c r="J783" s="15" t="n">
        <x:v>4611.06</x:v>
      </x:c>
      <x:c r="K783" t="str">
        <x:f>XLOOKUP(B783,Orders!A:A,Orders!E:E,"")</x:f>
        <x:v>East</x:v>
      </x:c>
      <x:c r="L783" t="n">
        <x:f>XLOOKUP(B783,Orders!A:A,Orders!B:B,"")</x:f>
        <x:v>45860</x:v>
      </x:c>
      <x:c r="M783" t="str">
        <x:f>XLOOKUP(C783,Products!A:A,Products!C:C,"")</x:f>
        <x:v>Furniture</x:v>
      </x:c>
    </x:row>
    <x:row r="784">
      <x:c r="A784" s="15" t="str">
        <x:v>ITEM00333_1</x:v>
      </x:c>
      <x:c r="B784" s="15" t="str">
        <x:v>ORD00333</x:v>
      </x:c>
      <x:c r="C784" s="15" t="str">
        <x:v>PROD029</x:v>
      </x:c>
      <x:c r="D784" s="15" t="n">
        <x:v>5</x:v>
      </x:c>
      <x:c r="E784" s="15" t="n">
        <x:v>8430.77</x:v>
      </x:c>
      <x:c r="F784" s="15" t="n">
        <x:v>0</x:v>
      </x:c>
      <x:c r="G784" s="15" t="n">
        <x:v>42153.85</x:v>
      </x:c>
      <x:c r="H784" s="15" t="n">
        <x:v>42153.85</x:v>
      </x:c>
      <x:c r="I784" s="15" t="n">
        <x:v>30925</x:v>
      </x:c>
      <x:c r="J784" s="15" t="n">
        <x:v>11228.85</x:v>
      </x:c>
      <x:c r="K784" t="str">
        <x:f>XLOOKUP(B784,Orders!A:A,Orders!E:E,"")</x:f>
        <x:v>East</x:v>
      </x:c>
      <x:c r="L784" t="n">
        <x:f>XLOOKUP(B784,Orders!A:A,Orders!B:B,"")</x:f>
        <x:v>45728</x:v>
      </x:c>
      <x:c r="M784" t="str">
        <x:f>XLOOKUP(C784,Products!A:A,Products!C:C,"")</x:f>
        <x:v>Office Supplies</x:v>
      </x:c>
    </x:row>
    <x:row r="785">
      <x:c r="A785" s="15" t="str">
        <x:v>ITEM00333_2</x:v>
      </x:c>
      <x:c r="B785" s="15" t="str">
        <x:v>ORD00333</x:v>
      </x:c>
      <x:c r="C785" s="15" t="str">
        <x:v>PROD025</x:v>
      </x:c>
      <x:c r="D785" s="15" t="n">
        <x:v>2</x:v>
      </x:c>
      <x:c r="E785" s="15" t="n">
        <x:v>1148.84</x:v>
      </x:c>
      <x:c r="F785" s="15" t="n">
        <x:v>0.15</x:v>
      </x:c>
      <x:c r="G785" s="15" t="n">
        <x:v>2297.68</x:v>
      </x:c>
      <x:c r="H785" s="15" t="n">
        <x:v>1953.03</x:v>
      </x:c>
      <x:c r="I785" s="15" t="n">
        <x:v>1756</x:v>
      </x:c>
      <x:c r="J785" s="15" t="n">
        <x:v>197.03</x:v>
      </x:c>
      <x:c r="K785" t="str">
        <x:f>XLOOKUP(B785,Orders!A:A,Orders!E:E,"")</x:f>
        <x:v>East</x:v>
      </x:c>
      <x:c r="L785" t="n">
        <x:f>XLOOKUP(B785,Orders!A:A,Orders!B:B,"")</x:f>
        <x:v>45728</x:v>
      </x:c>
      <x:c r="M785" t="str">
        <x:f>XLOOKUP(C785,Products!A:A,Products!C:C,"")</x:f>
        <x:v>Furniture</x:v>
      </x:c>
    </x:row>
    <x:row r="786">
      <x:c r="A786" s="15" t="str">
        <x:v>ITEM00333_3</x:v>
      </x:c>
      <x:c r="B786" s="15" t="str">
        <x:v>ORD00333</x:v>
      </x:c>
      <x:c r="C786" s="15" t="str">
        <x:v>PROD024</x:v>
      </x:c>
      <x:c r="D786" s="15" t="n">
        <x:v>7</x:v>
      </x:c>
      <x:c r="E786" s="15" t="n">
        <x:v>4018</x:v>
      </x:c>
      <x:c r="F786" s="15" t="n">
        <x:v>0.15</x:v>
      </x:c>
      <x:c r="G786" s="15" t="n">
        <x:v>28126</x:v>
      </x:c>
      <x:c r="H786" s="15" t="n">
        <x:v>23907.1</x:v>
      </x:c>
      <x:c r="I786" s="15" t="n">
        <x:v>22344</x:v>
      </x:c>
      <x:c r="J786" s="15" t="n">
        <x:v>1563.1</x:v>
      </x:c>
      <x:c r="K786" t="str">
        <x:f>XLOOKUP(B786,Orders!A:A,Orders!E:E,"")</x:f>
        <x:v>East</x:v>
      </x:c>
      <x:c r="L786" t="n">
        <x:f>XLOOKUP(B786,Orders!A:A,Orders!B:B,"")</x:f>
        <x:v>45728</x:v>
      </x:c>
      <x:c r="M786" t="str">
        <x:f>XLOOKUP(C786,Products!A:A,Products!C:C,"")</x:f>
        <x:v>Furniture</x:v>
      </x:c>
    </x:row>
    <x:row r="787">
      <x:c r="A787" s="15" t="str">
        <x:v>ITEM00334_1</x:v>
      </x:c>
      <x:c r="B787" s="15" t="str">
        <x:v>ORD00334</x:v>
      </x:c>
      <x:c r="C787" s="15" t="str">
        <x:v>PROD019</x:v>
      </x:c>
      <x:c r="D787" s="15" t="n">
        <x:v>3</x:v>
      </x:c>
      <x:c r="E787" s="15" t="n">
        <x:v>5996.29</x:v>
      </x:c>
      <x:c r="F787" s="15" t="n">
        <x:v>0.1</x:v>
      </x:c>
      <x:c r="G787" s="15" t="n">
        <x:v>17988.87</x:v>
      </x:c>
      <x:c r="H787" s="15" t="n">
        <x:v>16189.98</x:v>
      </x:c>
      <x:c r="I787" s="15" t="n">
        <x:v>13530</x:v>
      </x:c>
      <x:c r="J787" s="15" t="n">
        <x:v>2659.98</x:v>
      </x:c>
      <x:c r="K787" t="str">
        <x:f>XLOOKUP(B787,Orders!A:A,Orders!E:E,"")</x:f>
        <x:v>North</x:v>
      </x:c>
      <x:c r="L787" t="n">
        <x:f>XLOOKUP(B787,Orders!A:A,Orders!B:B,"")</x:f>
        <x:v>46065</x:v>
      </x:c>
      <x:c r="M787" t="str">
        <x:f>XLOOKUP(C787,Products!A:A,Products!C:C,"")</x:f>
        <x:v>Electronics</x:v>
      </x:c>
    </x:row>
    <x:row r="788">
      <x:c r="A788" s="15" t="str">
        <x:v>ITEM00334_2</x:v>
      </x:c>
      <x:c r="B788" s="15" t="str">
        <x:v>ORD00334</x:v>
      </x:c>
      <x:c r="C788" s="15" t="str">
        <x:v>PROD011</x:v>
      </x:c>
      <x:c r="D788" s="15" t="n">
        <x:v>2</x:v>
      </x:c>
      <x:c r="E788" s="15" t="n">
        <x:v>7135.27</x:v>
      </x:c>
      <x:c r="F788" s="15" t="n">
        <x:v>0</x:v>
      </x:c>
      <x:c r="G788" s="15" t="n">
        <x:v>14270.54</x:v>
      </x:c>
      <x:c r="H788" s="15" t="n">
        <x:v>14270.54</x:v>
      </x:c>
      <x:c r="I788" s="15" t="n">
        <x:v>10406</x:v>
      </x:c>
      <x:c r="J788" s="15" t="n">
        <x:v>3864.54</x:v>
      </x:c>
      <x:c r="K788" t="str">
        <x:f>XLOOKUP(B788,Orders!A:A,Orders!E:E,"")</x:f>
        <x:v>North</x:v>
      </x:c>
      <x:c r="L788" t="n">
        <x:f>XLOOKUP(B788,Orders!A:A,Orders!B:B,"")</x:f>
        <x:v>46065</x:v>
      </x:c>
      <x:c r="M788" t="str">
        <x:f>XLOOKUP(C788,Products!A:A,Products!C:C,"")</x:f>
        <x:v>Accessories</x:v>
      </x:c>
    </x:row>
    <x:row r="789">
      <x:c r="A789" s="15" t="str">
        <x:v>ITEM00334_3</x:v>
      </x:c>
      <x:c r="B789" s="15" t="str">
        <x:v>ORD00334</x:v>
      </x:c>
      <x:c r="C789" s="15" t="str">
        <x:v>PROD018</x:v>
      </x:c>
      <x:c r="D789" s="15" t="n">
        <x:v>6</x:v>
      </x:c>
      <x:c r="E789" s="15" t="n">
        <x:v>5637.8</x:v>
      </x:c>
      <x:c r="F789" s="15" t="n">
        <x:v>0.1</x:v>
      </x:c>
      <x:c r="G789" s="15" t="n">
        <x:v>33826.8</x:v>
      </x:c>
      <x:c r="H789" s="15" t="n">
        <x:v>30444.12</x:v>
      </x:c>
      <x:c r="I789" s="15" t="n">
        <x:v>25266</x:v>
      </x:c>
      <x:c r="J789" s="15" t="n">
        <x:v>5178.12</x:v>
      </x:c>
      <x:c r="K789" t="str">
        <x:f>XLOOKUP(B789,Orders!A:A,Orders!E:E,"")</x:f>
        <x:v>North</x:v>
      </x:c>
      <x:c r="L789" t="n">
        <x:f>XLOOKUP(B789,Orders!A:A,Orders!B:B,"")</x:f>
        <x:v>46065</x:v>
      </x:c>
      <x:c r="M789" t="str">
        <x:f>XLOOKUP(C789,Products!A:A,Products!C:C,"")</x:f>
        <x:v>Electronics</x:v>
      </x:c>
    </x:row>
    <x:row r="790">
      <x:c r="A790" s="15" t="str">
        <x:v>ITEM00335_1</x:v>
      </x:c>
      <x:c r="B790" s="15" t="str">
        <x:v>ORD00335</x:v>
      </x:c>
      <x:c r="C790" s="15" t="str">
        <x:v>PROD033</x:v>
      </x:c>
      <x:c r="D790" s="15" t="n">
        <x:v>6</x:v>
      </x:c>
      <x:c r="E790" s="15" t="n">
        <x:v>3912.41</x:v>
      </x:c>
      <x:c r="F790" s="15" t="n">
        <x:v>0</x:v>
      </x:c>
      <x:c r="G790" s="15" t="n">
        <x:v>23474.46</x:v>
      </x:c>
      <x:c r="H790" s="15" t="n">
        <x:v>23474.46</x:v>
      </x:c>
      <x:c r="I790" s="15" t="n">
        <x:v>17946</x:v>
      </x:c>
      <x:c r="J790" s="15" t="n">
        <x:v>5528.46</x:v>
      </x:c>
      <x:c r="K790" t="str">
        <x:f>XLOOKUP(B790,Orders!A:A,Orders!E:E,"")</x:f>
        <x:v>West</x:v>
      </x:c>
      <x:c r="L790" t="n">
        <x:f>XLOOKUP(B790,Orders!A:A,Orders!B:B,"")</x:f>
        <x:v>45790</x:v>
      </x:c>
      <x:c r="M790" t="str">
        <x:f>XLOOKUP(C790,Products!A:A,Products!C:C,"")</x:f>
        <x:v>Furniture</x:v>
      </x:c>
    </x:row>
    <x:row r="791">
      <x:c r="A791" s="15" t="str">
        <x:v>ITEM00335_2</x:v>
      </x:c>
      <x:c r="B791" s="15" t="str">
        <x:v>ORD00335</x:v>
      </x:c>
      <x:c r="C791" s="15" t="str">
        <x:v>PROD004</x:v>
      </x:c>
      <x:c r="D791" s="15" t="n">
        <x:v>3</x:v>
      </x:c>
      <x:c r="E791" s="15" t="n">
        <x:v>5435.39</x:v>
      </x:c>
      <x:c r="F791" s="15" t="n">
        <x:v>0.05</x:v>
      </x:c>
      <x:c r="G791" s="15" t="n">
        <x:v>16306.17</x:v>
      </x:c>
      <x:c r="H791" s="15" t="n">
        <x:v>15490.86</x:v>
      </x:c>
      <x:c r="I791" s="15" t="n">
        <x:v>12423</x:v>
      </x:c>
      <x:c r="J791" s="15" t="n">
        <x:v>3067.86</x:v>
      </x:c>
      <x:c r="K791" t="str">
        <x:f>XLOOKUP(B791,Orders!A:A,Orders!E:E,"")</x:f>
        <x:v>West</x:v>
      </x:c>
      <x:c r="L791" t="n">
        <x:f>XLOOKUP(B791,Orders!A:A,Orders!B:B,"")</x:f>
        <x:v>45790</x:v>
      </x:c>
      <x:c r="M791" t="str">
        <x:f>XLOOKUP(C791,Products!A:A,Products!C:C,"")</x:f>
        <x:v>Office Supplies</x:v>
      </x:c>
    </x:row>
    <x:row r="792">
      <x:c r="A792" s="15" t="str">
        <x:v>ITEM00335_3</x:v>
      </x:c>
      <x:c r="B792" s="15" t="str">
        <x:v>ORD00335</x:v>
      </x:c>
      <x:c r="C792" s="15" t="str">
        <x:v>PROD006</x:v>
      </x:c>
      <x:c r="D792" s="15" t="n">
        <x:v>7</x:v>
      </x:c>
      <x:c r="E792" s="15" t="n">
        <x:v>4261.26</x:v>
      </x:c>
      <x:c r="F792" s="15" t="n">
        <x:v>0</x:v>
      </x:c>
      <x:c r="G792" s="15" t="n">
        <x:v>29828.82</x:v>
      </x:c>
      <x:c r="H792" s="15" t="n">
        <x:v>29828.82</x:v>
      </x:c>
      <x:c r="I792" s="15" t="n">
        <x:v>21469</x:v>
      </x:c>
      <x:c r="J792" s="15" t="n">
        <x:v>8359.82</x:v>
      </x:c>
      <x:c r="K792" t="str">
        <x:f>XLOOKUP(B792,Orders!A:A,Orders!E:E,"")</x:f>
        <x:v>West</x:v>
      </x:c>
      <x:c r="L792" t="n">
        <x:f>XLOOKUP(B792,Orders!A:A,Orders!B:B,"")</x:f>
        <x:v>45790</x:v>
      </x:c>
      <x:c r="M792" t="str">
        <x:f>XLOOKUP(C792,Products!A:A,Products!C:C,"")</x:f>
        <x:v>Office Supplies</x:v>
      </x:c>
    </x:row>
    <x:row r="793">
      <x:c r="A793" s="15" t="str">
        <x:v>ITEM00336_1</x:v>
      </x:c>
      <x:c r="B793" s="15" t="str">
        <x:v>ORD00336</x:v>
      </x:c>
      <x:c r="C793" s="15" t="str">
        <x:v>PROD008</x:v>
      </x:c>
      <x:c r="D793" s="15" t="n">
        <x:v>2</x:v>
      </x:c>
      <x:c r="E793" s="15" t="n">
        <x:v>8534.48</x:v>
      </x:c>
      <x:c r="F793" s="15" t="n">
        <x:v>0.05</x:v>
      </x:c>
      <x:c r="G793" s="15" t="n">
        <x:v>17068.96</x:v>
      </x:c>
      <x:c r="H793" s="15" t="n">
        <x:v>16215.51</x:v>
      </x:c>
      <x:c r="I793" s="15" t="n">
        <x:v>12394</x:v>
      </x:c>
      <x:c r="J793" s="15" t="n">
        <x:v>3821.51</x:v>
      </x:c>
      <x:c r="K793" t="str">
        <x:f>XLOOKUP(B793,Orders!A:A,Orders!E:E,"")</x:f>
        <x:v>East</x:v>
      </x:c>
      <x:c r="L793" t="n">
        <x:f>XLOOKUP(B793,Orders!A:A,Orders!B:B,"")</x:f>
        <x:v>45864</x:v>
      </x:c>
      <x:c r="M793" t="str">
        <x:f>XLOOKUP(C793,Products!A:A,Products!C:C,"")</x:f>
        <x:v>Office Supplies</x:v>
      </x:c>
    </x:row>
    <x:row r="794">
      <x:c r="A794" s="15" t="str">
        <x:v>ITEM00336_2</x:v>
      </x:c>
      <x:c r="B794" s="15" t="str">
        <x:v>ORD00336</x:v>
      </x:c>
      <x:c r="C794" s="15" t="str">
        <x:v>PROD028</x:v>
      </x:c>
      <x:c r="D794" s="15" t="n">
        <x:v>2</x:v>
      </x:c>
      <x:c r="E794" s="15" t="n">
        <x:v>4640.74</x:v>
      </x:c>
      <x:c r="F794" s="15" t="n">
        <x:v>0.15</x:v>
      </x:c>
      <x:c r="G794" s="15" t="n">
        <x:v>9281.48</x:v>
      </x:c>
      <x:c r="H794" s="15" t="n">
        <x:v>7889.26</x:v>
      </x:c>
      <x:c r="I794" s="15" t="n">
        <x:v>7068</x:v>
      </x:c>
      <x:c r="J794" s="15" t="n">
        <x:v>821.26</x:v>
      </x:c>
      <x:c r="K794" t="str">
        <x:f>XLOOKUP(B794,Orders!A:A,Orders!E:E,"")</x:f>
        <x:v>East</x:v>
      </x:c>
      <x:c r="L794" t="n">
        <x:f>XLOOKUP(B794,Orders!A:A,Orders!B:B,"")</x:f>
        <x:v>45864</x:v>
      </x:c>
      <x:c r="M794" t="str">
        <x:f>XLOOKUP(C794,Products!A:A,Products!C:C,"")</x:f>
        <x:v>Office Supplies</x:v>
      </x:c>
    </x:row>
    <x:row r="795">
      <x:c r="A795" s="15" t="str">
        <x:v>ITEM00336_3</x:v>
      </x:c>
      <x:c r="B795" s="15" t="str">
        <x:v>ORD00336</x:v>
      </x:c>
      <x:c r="C795" s="15" t="str">
        <x:v>PROD006</x:v>
      </x:c>
      <x:c r="D795" s="15" t="n">
        <x:v>6</x:v>
      </x:c>
      <x:c r="E795" s="15" t="n">
        <x:v>4261.26</x:v>
      </x:c>
      <x:c r="F795" s="15" t="n">
        <x:v>0</x:v>
      </x:c>
      <x:c r="G795" s="15" t="n">
        <x:v>25567.56</x:v>
      </x:c>
      <x:c r="H795" s="15" t="n">
        <x:v>25567.56</x:v>
      </x:c>
      <x:c r="I795" s="15" t="n">
        <x:v>18402</x:v>
      </x:c>
      <x:c r="J795" s="15" t="n">
        <x:v>7165.56</x:v>
      </x:c>
      <x:c r="K795" t="str">
        <x:f>XLOOKUP(B795,Orders!A:A,Orders!E:E,"")</x:f>
        <x:v>East</x:v>
      </x:c>
      <x:c r="L795" t="n">
        <x:f>XLOOKUP(B795,Orders!A:A,Orders!B:B,"")</x:f>
        <x:v>45864</x:v>
      </x:c>
      <x:c r="M795" t="str">
        <x:f>XLOOKUP(C795,Products!A:A,Products!C:C,"")</x:f>
        <x:v>Office Supplies</x:v>
      </x:c>
    </x:row>
    <x:row r="796">
      <x:c r="A796" s="15" t="str">
        <x:v>ITEM00337_1</x:v>
      </x:c>
      <x:c r="B796" s="15" t="str">
        <x:v>ORD00337</x:v>
      </x:c>
      <x:c r="C796" s="15" t="str">
        <x:v>PROD007</x:v>
      </x:c>
      <x:c r="D796" s="15" t="n">
        <x:v>6</x:v>
      </x:c>
      <x:c r="E796" s="15" t="n">
        <x:v>5013.07</x:v>
      </x:c>
      <x:c r="F796" s="15" t="n">
        <x:v>0</x:v>
      </x:c>
      <x:c r="G796" s="15" t="n">
        <x:v>30078.42</x:v>
      </x:c>
      <x:c r="H796" s="15" t="n">
        <x:v>30078.42</x:v>
      </x:c>
      <x:c r="I796" s="15" t="n">
        <x:v>23646</x:v>
      </x:c>
      <x:c r="J796" s="15" t="n">
        <x:v>6432.42</x:v>
      </x:c>
      <x:c r="K796" t="str">
        <x:f>XLOOKUP(B796,Orders!A:A,Orders!E:E,"")</x:f>
        <x:v>West</x:v>
      </x:c>
      <x:c r="L796" t="n">
        <x:f>XLOOKUP(B796,Orders!A:A,Orders!B:B,"")</x:f>
        <x:v>46001</x:v>
      </x:c>
      <x:c r="M796" t="str">
        <x:f>XLOOKUP(C796,Products!A:A,Products!C:C,"")</x:f>
        <x:v>Electronics</x:v>
      </x:c>
    </x:row>
    <x:row r="797">
      <x:c r="A797" s="15" t="str">
        <x:v>ITEM00337_2</x:v>
      </x:c>
      <x:c r="B797" s="15" t="str">
        <x:v>ORD00337</x:v>
      </x:c>
      <x:c r="C797" s="15" t="str">
        <x:v>PROD001</x:v>
      </x:c>
      <x:c r="D797" s="15" t="n">
        <x:v>8</x:v>
      </x:c>
      <x:c r="E797" s="15" t="n">
        <x:v>8672.7</x:v>
      </x:c>
      <x:c r="F797" s="15" t="n">
        <x:v>0.05</x:v>
      </x:c>
      <x:c r="G797" s="15" t="n">
        <x:v>69381.6</x:v>
      </x:c>
      <x:c r="H797" s="15" t="n">
        <x:v>65912.52</x:v>
      </x:c>
      <x:c r="I797" s="15" t="n">
        <x:v>49304</x:v>
      </x:c>
      <x:c r="J797" s="15" t="n">
        <x:v>16608.52</x:v>
      </x:c>
      <x:c r="K797" t="str">
        <x:f>XLOOKUP(B797,Orders!A:A,Orders!E:E,"")</x:f>
        <x:v>West</x:v>
      </x:c>
      <x:c r="L797" t="n">
        <x:f>XLOOKUP(B797,Orders!A:A,Orders!B:B,"")</x:f>
        <x:v>46001</x:v>
      </x:c>
      <x:c r="M797" t="str">
        <x:f>XLOOKUP(C797,Products!A:A,Products!C:C,"")</x:f>
        <x:v>Office Supplies</x:v>
      </x:c>
    </x:row>
    <x:row r="798">
      <x:c r="A798" s="15" t="str">
        <x:v>ITEM00338_1</x:v>
      </x:c>
      <x:c r="B798" s="15" t="str">
        <x:v>ORD00338</x:v>
      </x:c>
      <x:c r="C798" s="15" t="str">
        <x:v>PROD008</x:v>
      </x:c>
      <x:c r="D798" s="15" t="n">
        <x:v>1</x:v>
      </x:c>
      <x:c r="E798" s="15" t="n">
        <x:v>8534.48</x:v>
      </x:c>
      <x:c r="F798" s="15" t="n">
        <x:v>0</x:v>
      </x:c>
      <x:c r="G798" s="15" t="n">
        <x:v>8534.48</x:v>
      </x:c>
      <x:c r="H798" s="15" t="n">
        <x:v>8534.48</x:v>
      </x:c>
      <x:c r="I798" s="15" t="n">
        <x:v>6197</x:v>
      </x:c>
      <x:c r="J798" s="15" t="n">
        <x:v>2337.48</x:v>
      </x:c>
      <x:c r="K798" t="str">
        <x:f>XLOOKUP(B798,Orders!A:A,Orders!E:E,"")</x:f>
        <x:v>West</x:v>
      </x:c>
      <x:c r="L798" t="n">
        <x:f>XLOOKUP(B798,Orders!A:A,Orders!B:B,"")</x:f>
        <x:v>46179</x:v>
      </x:c>
      <x:c r="M798" t="str">
        <x:f>XLOOKUP(C798,Products!A:A,Products!C:C,"")</x:f>
        <x:v>Office Supplies</x:v>
      </x:c>
    </x:row>
    <x:row r="799">
      <x:c r="A799" s="15" t="str">
        <x:v>ITEM00338_2</x:v>
      </x:c>
      <x:c r="B799" s="15" t="str">
        <x:v>ORD00338</x:v>
      </x:c>
      <x:c r="C799" s="15" t="str">
        <x:v>PROD020</x:v>
      </x:c>
      <x:c r="D799" s="15" t="n">
        <x:v>4</x:v>
      </x:c>
      <x:c r="E799" s="15" t="n">
        <x:v>6564.04</x:v>
      </x:c>
      <x:c r="F799" s="15" t="n">
        <x:v>0</x:v>
      </x:c>
      <x:c r="G799" s="15" t="n">
        <x:v>26256.16</x:v>
      </x:c>
      <x:c r="H799" s="15" t="n">
        <x:v>26256.16</x:v>
      </x:c>
      <x:c r="I799" s="15" t="n">
        <x:v>18340</x:v>
      </x:c>
      <x:c r="J799" s="15" t="n">
        <x:v>7916.16</x:v>
      </x:c>
      <x:c r="K799" t="str">
        <x:f>XLOOKUP(B799,Orders!A:A,Orders!E:E,"")</x:f>
        <x:v>West</x:v>
      </x:c>
      <x:c r="L799" t="n">
        <x:f>XLOOKUP(B799,Orders!A:A,Orders!B:B,"")</x:f>
        <x:v>46179</x:v>
      </x:c>
      <x:c r="M799" t="str">
        <x:f>XLOOKUP(C799,Products!A:A,Products!C:C,"")</x:f>
        <x:v>Accessories</x:v>
      </x:c>
    </x:row>
    <x:row r="800">
      <x:c r="A800" s="15" t="str">
        <x:v>ITEM00338_3</x:v>
      </x:c>
      <x:c r="B800" s="15" t="str">
        <x:v>ORD00338</x:v>
      </x:c>
      <x:c r="C800" s="15" t="str">
        <x:v>PROD026</x:v>
      </x:c>
      <x:c r="D800" s="15" t="n">
        <x:v>6</x:v>
      </x:c>
      <x:c r="E800" s="15" t="n">
        <x:v>3848.69</x:v>
      </x:c>
      <x:c r="F800" s="15" t="n">
        <x:v>0</x:v>
      </x:c>
      <x:c r="G800" s="15" t="n">
        <x:v>23092.14</x:v>
      </x:c>
      <x:c r="H800" s="15" t="n">
        <x:v>23092.14</x:v>
      </x:c>
      <x:c r="I800" s="15" t="n">
        <x:v>15804</x:v>
      </x:c>
      <x:c r="J800" s="15" t="n">
        <x:v>7288.14</x:v>
      </x:c>
      <x:c r="K800" t="str">
        <x:f>XLOOKUP(B800,Orders!A:A,Orders!E:E,"")</x:f>
        <x:v>West</x:v>
      </x:c>
      <x:c r="L800" t="n">
        <x:f>XLOOKUP(B800,Orders!A:A,Orders!B:B,"")</x:f>
        <x:v>46179</x:v>
      </x:c>
      <x:c r="M800" t="str">
        <x:f>XLOOKUP(C800,Products!A:A,Products!C:C,"")</x:f>
        <x:v>Accessories</x:v>
      </x:c>
    </x:row>
    <x:row r="801">
      <x:c r="A801" s="15" t="str">
        <x:v>ITEM00338_4</x:v>
      </x:c>
      <x:c r="B801" s="15" t="str">
        <x:v>ORD00338</x:v>
      </x:c>
      <x:c r="C801" s="15" t="str">
        <x:v>PROD028</x:v>
      </x:c>
      <x:c r="D801" s="15" t="n">
        <x:v>7</x:v>
      </x:c>
      <x:c r="E801" s="15" t="n">
        <x:v>4640.74</x:v>
      </x:c>
      <x:c r="F801" s="15" t="n">
        <x:v>0.05</x:v>
      </x:c>
      <x:c r="G801" s="15" t="n">
        <x:v>32485.18</x:v>
      </x:c>
      <x:c r="H801" s="15" t="n">
        <x:v>30860.92</x:v>
      </x:c>
      <x:c r="I801" s="15" t="n">
        <x:v>24738</x:v>
      </x:c>
      <x:c r="J801" s="15" t="n">
        <x:v>6122.92</x:v>
      </x:c>
      <x:c r="K801" t="str">
        <x:f>XLOOKUP(B801,Orders!A:A,Orders!E:E,"")</x:f>
        <x:v>West</x:v>
      </x:c>
      <x:c r="L801" t="n">
        <x:f>XLOOKUP(B801,Orders!A:A,Orders!B:B,"")</x:f>
        <x:v>46179</x:v>
      </x:c>
      <x:c r="M801" t="str">
        <x:f>XLOOKUP(C801,Products!A:A,Products!C:C,"")</x:f>
        <x:v>Office Supplies</x:v>
      </x:c>
    </x:row>
    <x:row r="802">
      <x:c r="A802" s="15" t="str">
        <x:v>ITEM00339_1</x:v>
      </x:c>
      <x:c r="B802" s="15" t="str">
        <x:v>ORD00339</x:v>
      </x:c>
      <x:c r="C802" s="15" t="str">
        <x:v>PROD035</x:v>
      </x:c>
      <x:c r="D802" s="15" t="n">
        <x:v>7</x:v>
      </x:c>
      <x:c r="E802" s="15" t="n">
        <x:v>3972.26</x:v>
      </x:c>
      <x:c r="F802" s="15" t="n">
        <x:v>0.05</x:v>
      </x:c>
      <x:c r="G802" s="15" t="n">
        <x:v>27805.82</x:v>
      </x:c>
      <x:c r="H802" s="15" t="n">
        <x:v>26415.53</x:v>
      </x:c>
      <x:c r="I802" s="15" t="n">
        <x:v>22309</x:v>
      </x:c>
      <x:c r="J802" s="15" t="n">
        <x:v>4106.53</x:v>
      </x:c>
      <x:c r="K802" t="str">
        <x:f>XLOOKUP(B802,Orders!A:A,Orders!E:E,"")</x:f>
        <x:v>South</x:v>
      </x:c>
      <x:c r="L802" t="n">
        <x:f>XLOOKUP(B802,Orders!A:A,Orders!B:B,"")</x:f>
        <x:v>46007</x:v>
      </x:c>
      <x:c r="M802" t="str">
        <x:f>XLOOKUP(C802,Products!A:A,Products!C:C,"")</x:f>
        <x:v>Electronics</x:v>
      </x:c>
    </x:row>
    <x:row r="803">
      <x:c r="A803" s="15" t="str">
        <x:v>ITEM00339_2</x:v>
      </x:c>
      <x:c r="B803" s="15" t="str">
        <x:v>ORD00339</x:v>
      </x:c>
      <x:c r="C803" s="15" t="str">
        <x:v>PROD040</x:v>
      </x:c>
      <x:c r="D803" s="15" t="n">
        <x:v>3</x:v>
      </x:c>
      <x:c r="E803" s="15" t="n">
        <x:v>8561.07</x:v>
      </x:c>
      <x:c r="F803" s="15" t="n">
        <x:v>0.05</x:v>
      </x:c>
      <x:c r="G803" s="15" t="n">
        <x:v>25683.21</x:v>
      </x:c>
      <x:c r="H803" s="15" t="n">
        <x:v>24399.05</x:v>
      </x:c>
      <x:c r="I803" s="15" t="n">
        <x:v>20523</x:v>
      </x:c>
      <x:c r="J803" s="15" t="n">
        <x:v>3876.05</x:v>
      </x:c>
      <x:c r="K803" t="str">
        <x:f>XLOOKUP(B803,Orders!A:A,Orders!E:E,"")</x:f>
        <x:v>South</x:v>
      </x:c>
      <x:c r="L803" t="n">
        <x:f>XLOOKUP(B803,Orders!A:A,Orders!B:B,"")</x:f>
        <x:v>46007</x:v>
      </x:c>
      <x:c r="M803" t="str">
        <x:f>XLOOKUP(C803,Products!A:A,Products!C:C,"")</x:f>
        <x:v>Electronics</x:v>
      </x:c>
    </x:row>
    <x:row r="804">
      <x:c r="A804" s="15" t="str">
        <x:v>ITEM00339_3</x:v>
      </x:c>
      <x:c r="B804" s="15" t="str">
        <x:v>ORD00339</x:v>
      </x:c>
      <x:c r="C804" s="15" t="str">
        <x:v>PROD036</x:v>
      </x:c>
      <x:c r="D804" s="15" t="n">
        <x:v>3</x:v>
      </x:c>
      <x:c r="E804" s="15" t="n">
        <x:v>7158.64</x:v>
      </x:c>
      <x:c r="F804" s="15" t="n">
        <x:v>0.1</x:v>
      </x:c>
      <x:c r="G804" s="15" t="n">
        <x:v>21475.92</x:v>
      </x:c>
      <x:c r="H804" s="15" t="n">
        <x:v>19328.33</x:v>
      </x:c>
      <x:c r="I804" s="15" t="n">
        <x:v>15513</x:v>
      </x:c>
      <x:c r="J804" s="15" t="n">
        <x:v>3815.33</x:v>
      </x:c>
      <x:c r="K804" t="str">
        <x:f>XLOOKUP(B804,Orders!A:A,Orders!E:E,"")</x:f>
        <x:v>South</x:v>
      </x:c>
      <x:c r="L804" t="n">
        <x:f>XLOOKUP(B804,Orders!A:A,Orders!B:B,"")</x:f>
        <x:v>46007</x:v>
      </x:c>
      <x:c r="M804" t="str">
        <x:f>XLOOKUP(C804,Products!A:A,Products!C:C,"")</x:f>
        <x:v>Accessories</x:v>
      </x:c>
    </x:row>
    <x:row r="805">
      <x:c r="A805" s="15" t="str">
        <x:v>ITEM00339_4</x:v>
      </x:c>
      <x:c r="B805" s="15" t="str">
        <x:v>ORD00339</x:v>
      </x:c>
      <x:c r="C805" s="15" t="str">
        <x:v>PROD013</x:v>
      </x:c>
      <x:c r="D805" s="15" t="n">
        <x:v>1</x:v>
      </x:c>
      <x:c r="E805" s="15" t="n">
        <x:v>7614.02</x:v>
      </x:c>
      <x:c r="F805" s="15" t="n">
        <x:v>0</x:v>
      </x:c>
      <x:c r="G805" s="15" t="n">
        <x:v>7614.02</x:v>
      </x:c>
      <x:c r="H805" s="15" t="n">
        <x:v>7614.02</x:v>
      </x:c>
      <x:c r="I805" s="15" t="n">
        <x:v>6077</x:v>
      </x:c>
      <x:c r="J805" s="15" t="n">
        <x:v>1537.02</x:v>
      </x:c>
      <x:c r="K805" t="str">
        <x:f>XLOOKUP(B805,Orders!A:A,Orders!E:E,"")</x:f>
        <x:v>South</x:v>
      </x:c>
      <x:c r="L805" t="n">
        <x:f>XLOOKUP(B805,Orders!A:A,Orders!B:B,"")</x:f>
        <x:v>46007</x:v>
      </x:c>
      <x:c r="M805" t="str">
        <x:f>XLOOKUP(C805,Products!A:A,Products!C:C,"")</x:f>
        <x:v>Furniture</x:v>
      </x:c>
    </x:row>
    <x:row r="806">
      <x:c r="A806" s="15" t="str">
        <x:v>ITEM00340_1</x:v>
      </x:c>
      <x:c r="B806" s="15" t="str">
        <x:v>ORD00340</x:v>
      </x:c>
      <x:c r="C806" s="15" t="str">
        <x:v>PROD004</x:v>
      </x:c>
      <x:c r="D806" s="15" t="n">
        <x:v>8</x:v>
      </x:c>
      <x:c r="E806" s="15" t="n">
        <x:v>5435.39</x:v>
      </x:c>
      <x:c r="F806" s="15" t="n">
        <x:v>0</x:v>
      </x:c>
      <x:c r="G806" s="15" t="n">
        <x:v>43483.12</x:v>
      </x:c>
      <x:c r="H806" s="15" t="n">
        <x:v>43483.12</x:v>
      </x:c>
      <x:c r="I806" s="15" t="n">
        <x:v>33128</x:v>
      </x:c>
      <x:c r="J806" s="15" t="n">
        <x:v>10355.12</x:v>
      </x:c>
      <x:c r="K806" t="str">
        <x:f>XLOOKUP(B806,Orders!A:A,Orders!E:E,"")</x:f>
        <x:v>West</x:v>
      </x:c>
      <x:c r="L806" t="n">
        <x:f>XLOOKUP(B806,Orders!A:A,Orders!B:B,"")</x:f>
        <x:v>45790</x:v>
      </x:c>
      <x:c r="M806" t="str">
        <x:f>XLOOKUP(C806,Products!A:A,Products!C:C,"")</x:f>
        <x:v>Office Supplies</x:v>
      </x:c>
    </x:row>
    <x:row r="807">
      <x:c r="A807" s="15" t="str">
        <x:v>ITEM00340_2</x:v>
      </x:c>
      <x:c r="B807" s="15" t="str">
        <x:v>ORD00340</x:v>
      </x:c>
      <x:c r="C807" s="15" t="str">
        <x:v>PROD005</x:v>
      </x:c>
      <x:c r="D807" s="15" t="n">
        <x:v>7</x:v>
      </x:c>
      <x:c r="E807" s="15" t="n">
        <x:v>6453.62</x:v>
      </x:c>
      <x:c r="F807" s="15" t="n">
        <x:v>0</x:v>
      </x:c>
      <x:c r="G807" s="15" t="n">
        <x:v>45175.34</x:v>
      </x:c>
      <x:c r="H807" s="15" t="n">
        <x:v>45175.34</x:v>
      </x:c>
      <x:c r="I807" s="15" t="n">
        <x:v>33936</x:v>
      </x:c>
      <x:c r="J807" s="15" t="n">
        <x:v>11239.34</x:v>
      </x:c>
      <x:c r="K807" t="str">
        <x:f>XLOOKUP(B807,Orders!A:A,Orders!E:E,"")</x:f>
        <x:v>West</x:v>
      </x:c>
      <x:c r="L807" t="n">
        <x:f>XLOOKUP(B807,Orders!A:A,Orders!B:B,"")</x:f>
        <x:v>45790</x:v>
      </x:c>
      <x:c r="M807" t="str">
        <x:f>XLOOKUP(C807,Products!A:A,Products!C:C,"")</x:f>
        <x:v>Office Supplies</x:v>
      </x:c>
    </x:row>
    <x:row r="808">
      <x:c r="A808" s="15" t="str">
        <x:v>ITEM00341_1</x:v>
      </x:c>
      <x:c r="B808" s="15" t="str">
        <x:v>ORD00341</x:v>
      </x:c>
      <x:c r="C808" s="15" t="str">
        <x:v>PROD033</x:v>
      </x:c>
      <x:c r="D808" s="15" t="n">
        <x:v>2</x:v>
      </x:c>
      <x:c r="E808" s="15" t="n">
        <x:v>3912.41</x:v>
      </x:c>
      <x:c r="F808" s="15" t="n">
        <x:v>0.1</x:v>
      </x:c>
      <x:c r="G808" s="15" t="n">
        <x:v>7824.82</x:v>
      </x:c>
      <x:c r="H808" s="15" t="n">
        <x:v>7042.34</x:v>
      </x:c>
      <x:c r="I808" s="15" t="n">
        <x:v>5982</x:v>
      </x:c>
      <x:c r="J808" s="15" t="n">
        <x:v>1060.34</x:v>
      </x:c>
      <x:c r="K808" t="str">
        <x:f>XLOOKUP(B808,Orders!A:A,Orders!E:E,"")</x:f>
        <x:v>East</x:v>
      </x:c>
      <x:c r="L808" t="n">
        <x:f>XLOOKUP(B808,Orders!A:A,Orders!B:B,"")</x:f>
        <x:v>45834</x:v>
      </x:c>
      <x:c r="M808" t="str">
        <x:f>XLOOKUP(C808,Products!A:A,Products!C:C,"")</x:f>
        <x:v>Furniture</x:v>
      </x:c>
    </x:row>
    <x:row r="809">
      <x:c r="A809" s="15" t="str">
        <x:v>ITEM00342_1</x:v>
      </x:c>
      <x:c r="B809" s="15" t="str">
        <x:v>ORD00342</x:v>
      </x:c>
      <x:c r="C809" s="15" t="str">
        <x:v>PROD009</x:v>
      </x:c>
      <x:c r="D809" s="15" t="n">
        <x:v>1</x:v>
      </x:c>
      <x:c r="E809" s="15" t="n">
        <x:v>4722.96</x:v>
      </x:c>
      <x:c r="F809" s="15" t="n">
        <x:v>0.1</x:v>
      </x:c>
      <x:c r="G809" s="15" t="n">
        <x:v>4722.96</x:v>
      </x:c>
      <x:c r="H809" s="15" t="n">
        <x:v>4250.66</x:v>
      </x:c>
      <x:c r="I809" s="15" t="n">
        <x:v>3213</x:v>
      </x:c>
      <x:c r="J809" s="15" t="n">
        <x:v>1037.66</x:v>
      </x:c>
      <x:c r="K809" t="str">
        <x:f>XLOOKUP(B809,Orders!A:A,Orders!E:E,"")</x:f>
        <x:v>East</x:v>
      </x:c>
      <x:c r="L809" t="n">
        <x:f>XLOOKUP(B809,Orders!A:A,Orders!B:B,"")</x:f>
        <x:v>46199</x:v>
      </x:c>
      <x:c r="M809" t="str">
        <x:f>XLOOKUP(C809,Products!A:A,Products!C:C,"")</x:f>
        <x:v>Accessories</x:v>
      </x:c>
    </x:row>
    <x:row r="810">
      <x:c r="A810" s="15" t="str">
        <x:v>ITEM00342_2</x:v>
      </x:c>
      <x:c r="B810" s="15" t="str">
        <x:v>ORD00342</x:v>
      </x:c>
      <x:c r="C810" s="15" t="str">
        <x:v>PROD036</x:v>
      </x:c>
      <x:c r="D810" s="15" t="n">
        <x:v>3</x:v>
      </x:c>
      <x:c r="E810" s="15" t="n">
        <x:v>7158.64</x:v>
      </x:c>
      <x:c r="F810" s="15" t="n">
        <x:v>0</x:v>
      </x:c>
      <x:c r="G810" s="15" t="n">
        <x:v>21475.92</x:v>
      </x:c>
      <x:c r="H810" s="15" t="n">
        <x:v>21475.92</x:v>
      </x:c>
      <x:c r="I810" s="15" t="n">
        <x:v>15513</x:v>
      </x:c>
      <x:c r="J810" s="15" t="n">
        <x:v>5962.92</x:v>
      </x:c>
      <x:c r="K810" t="str">
        <x:f>XLOOKUP(B810,Orders!A:A,Orders!E:E,"")</x:f>
        <x:v>East</x:v>
      </x:c>
      <x:c r="L810" t="n">
        <x:f>XLOOKUP(B810,Orders!A:A,Orders!B:B,"")</x:f>
        <x:v>46199</x:v>
      </x:c>
      <x:c r="M810" t="str">
        <x:f>XLOOKUP(C810,Products!A:A,Products!C:C,"")</x:f>
        <x:v>Accessories</x:v>
      </x:c>
    </x:row>
    <x:row r="811">
      <x:c r="A811" s="15" t="str">
        <x:v>ITEM00342_3</x:v>
      </x:c>
      <x:c r="B811" s="15" t="str">
        <x:v>ORD00342</x:v>
      </x:c>
      <x:c r="C811" s="15" t="str">
        <x:v>PROD028</x:v>
      </x:c>
      <x:c r="D811" s="15" t="n">
        <x:v>6</x:v>
      </x:c>
      <x:c r="E811" s="15" t="n">
        <x:v>4640.74</x:v>
      </x:c>
      <x:c r="F811" s="15" t="n">
        <x:v>0.1</x:v>
      </x:c>
      <x:c r="G811" s="15" t="n">
        <x:v>27844.44</x:v>
      </x:c>
      <x:c r="H811" s="15" t="n">
        <x:v>25060</x:v>
      </x:c>
      <x:c r="I811" s="15" t="n">
        <x:v>21204</x:v>
      </x:c>
      <x:c r="J811" s="15" t="n">
        <x:v>3856</x:v>
      </x:c>
      <x:c r="K811" t="str">
        <x:f>XLOOKUP(B811,Orders!A:A,Orders!E:E,"")</x:f>
        <x:v>East</x:v>
      </x:c>
      <x:c r="L811" t="n">
        <x:f>XLOOKUP(B811,Orders!A:A,Orders!B:B,"")</x:f>
        <x:v>46199</x:v>
      </x:c>
      <x:c r="M811" t="str">
        <x:f>XLOOKUP(C811,Products!A:A,Products!C:C,"")</x:f>
        <x:v>Office Supplies</x:v>
      </x:c>
    </x:row>
    <x:row r="812">
      <x:c r="A812" s="15" t="str">
        <x:v>ITEM00342_4</x:v>
      </x:c>
      <x:c r="B812" s="15" t="str">
        <x:v>ORD00342</x:v>
      </x:c>
      <x:c r="C812" s="15" t="str">
        <x:v>PROD025</x:v>
      </x:c>
      <x:c r="D812" s="15" t="n">
        <x:v>8</x:v>
      </x:c>
      <x:c r="E812" s="15" t="n">
        <x:v>1148.84</x:v>
      </x:c>
      <x:c r="F812" s="15" t="n">
        <x:v>0.15</x:v>
      </x:c>
      <x:c r="G812" s="15" t="n">
        <x:v>9190.72</x:v>
      </x:c>
      <x:c r="H812" s="15" t="n">
        <x:v>7812.11</x:v>
      </x:c>
      <x:c r="I812" s="15" t="n">
        <x:v>7024</x:v>
      </x:c>
      <x:c r="J812" s="15" t="n">
        <x:v>788.11</x:v>
      </x:c>
      <x:c r="K812" t="str">
        <x:f>XLOOKUP(B812,Orders!A:A,Orders!E:E,"")</x:f>
        <x:v>East</x:v>
      </x:c>
      <x:c r="L812" t="n">
        <x:f>XLOOKUP(B812,Orders!A:A,Orders!B:B,"")</x:f>
        <x:v>46199</x:v>
      </x:c>
      <x:c r="M812" t="str">
        <x:f>XLOOKUP(C812,Products!A:A,Products!C:C,"")</x:f>
        <x:v>Furniture</x:v>
      </x:c>
    </x:row>
    <x:row r="813">
      <x:c r="A813" s="15" t="str">
        <x:v>ITEM00343_1</x:v>
      </x:c>
      <x:c r="B813" s="15" t="str">
        <x:v>ORD00343</x:v>
      </x:c>
      <x:c r="C813" s="15" t="str">
        <x:v>PROD010</x:v>
      </x:c>
      <x:c r="D813" s="15" t="n">
        <x:v>8</x:v>
      </x:c>
      <x:c r="E813" s="15" t="n">
        <x:v>8670.63</x:v>
      </x:c>
      <x:c r="F813" s="15" t="n">
        <x:v>0</x:v>
      </x:c>
      <x:c r="G813" s="15" t="n">
        <x:v>69365.04</x:v>
      </x:c>
      <x:c r="H813" s="15" t="n">
        <x:v>69365.04</x:v>
      </x:c>
      <x:c r="I813" s="15" t="n">
        <x:v>46824</x:v>
      </x:c>
      <x:c r="J813" s="15" t="n">
        <x:v>22541.04</x:v>
      </x:c>
      <x:c r="K813" t="str">
        <x:f>XLOOKUP(B813,Orders!A:A,Orders!E:E,"")</x:f>
        <x:v>East</x:v>
      </x:c>
      <x:c r="L813" t="n">
        <x:f>XLOOKUP(B813,Orders!A:A,Orders!B:B,"")</x:f>
        <x:v>45998</x:v>
      </x:c>
      <x:c r="M813" t="str">
        <x:f>XLOOKUP(C813,Products!A:A,Products!C:C,"")</x:f>
        <x:v>Accessories</x:v>
      </x:c>
    </x:row>
    <x:row r="814">
      <x:c r="A814" s="15" t="str">
        <x:v>ITEM00344_1</x:v>
      </x:c>
      <x:c r="B814" s="15" t="str">
        <x:v>ORD00344</x:v>
      </x:c>
      <x:c r="C814" s="15" t="str">
        <x:v>PROD011</x:v>
      </x:c>
      <x:c r="D814" s="15" t="n">
        <x:v>3</x:v>
      </x:c>
      <x:c r="E814" s="15" t="n">
        <x:v>7135.27</x:v>
      </x:c>
      <x:c r="F814" s="15" t="n">
        <x:v>0.05</x:v>
      </x:c>
      <x:c r="G814" s="15" t="n">
        <x:v>21405.81</x:v>
      </x:c>
      <x:c r="H814" s="15" t="n">
        <x:v>20335.52</x:v>
      </x:c>
      <x:c r="I814" s="15" t="n">
        <x:v>15609</x:v>
      </x:c>
      <x:c r="J814" s="15" t="n">
        <x:v>4726.52</x:v>
      </x:c>
      <x:c r="K814" t="str">
        <x:f>XLOOKUP(B814,Orders!A:A,Orders!E:E,"")</x:f>
        <x:v>West</x:v>
      </x:c>
      <x:c r="L814" t="n">
        <x:f>XLOOKUP(B814,Orders!A:A,Orders!B:B,"")</x:f>
        <x:v>46122</x:v>
      </x:c>
      <x:c r="M814" t="str">
        <x:f>XLOOKUP(C814,Products!A:A,Products!C:C,"")</x:f>
        <x:v>Accessories</x:v>
      </x:c>
    </x:row>
    <x:row r="815">
      <x:c r="A815" s="15" t="str">
        <x:v>ITEM00344_2</x:v>
      </x:c>
      <x:c r="B815" s="15" t="str">
        <x:v>ORD00344</x:v>
      </x:c>
      <x:c r="C815" s="15" t="str">
        <x:v>PROD019</x:v>
      </x:c>
      <x:c r="D815" s="15" t="n">
        <x:v>5</x:v>
      </x:c>
      <x:c r="E815" s="15" t="n">
        <x:v>5996.29</x:v>
      </x:c>
      <x:c r="F815" s="15" t="n">
        <x:v>0.05</x:v>
      </x:c>
      <x:c r="G815" s="15" t="n">
        <x:v>29981.45</x:v>
      </x:c>
      <x:c r="H815" s="15" t="n">
        <x:v>28482.38</x:v>
      </x:c>
      <x:c r="I815" s="15" t="n">
        <x:v>22550</x:v>
      </x:c>
      <x:c r="J815" s="15" t="n">
        <x:v>5932.38</x:v>
      </x:c>
      <x:c r="K815" t="str">
        <x:f>XLOOKUP(B815,Orders!A:A,Orders!E:E,"")</x:f>
        <x:v>West</x:v>
      </x:c>
      <x:c r="L815" t="n">
        <x:f>XLOOKUP(B815,Orders!A:A,Orders!B:B,"")</x:f>
        <x:v>46122</x:v>
      </x:c>
      <x:c r="M815" t="str">
        <x:f>XLOOKUP(C815,Products!A:A,Products!C:C,"")</x:f>
        <x:v>Electronics</x:v>
      </x:c>
    </x:row>
    <x:row r="816">
      <x:c r="A816" s="15" t="str">
        <x:v>ITEM00345_1</x:v>
      </x:c>
      <x:c r="B816" s="15" t="str">
        <x:v>ORD00345</x:v>
      </x:c>
      <x:c r="C816" s="15" t="str">
        <x:v>PROD008</x:v>
      </x:c>
      <x:c r="D816" s="15" t="n">
        <x:v>4</x:v>
      </x:c>
      <x:c r="E816" s="15" t="n">
        <x:v>8534.48</x:v>
      </x:c>
      <x:c r="F816" s="15" t="n">
        <x:v>0</x:v>
      </x:c>
      <x:c r="G816" s="15" t="n">
        <x:v>34137.92</x:v>
      </x:c>
      <x:c r="H816" s="15" t="n">
        <x:v>34137.92</x:v>
      </x:c>
      <x:c r="I816" s="15" t="n">
        <x:v>24788</x:v>
      </x:c>
      <x:c r="J816" s="15" t="n">
        <x:v>9349.92</x:v>
      </x:c>
      <x:c r="K816" t="str">
        <x:f>XLOOKUP(B816,Orders!A:A,Orders!E:E,"")</x:f>
        <x:v>East</x:v>
      </x:c>
      <x:c r="L816" t="n">
        <x:f>XLOOKUP(B816,Orders!A:A,Orders!B:B,"")</x:f>
        <x:v>45911</x:v>
      </x:c>
      <x:c r="M816" t="str">
        <x:f>XLOOKUP(C816,Products!A:A,Products!C:C,"")</x:f>
        <x:v>Office Supplies</x:v>
      </x:c>
    </x:row>
    <x:row r="817">
      <x:c r="A817" s="15" t="str">
        <x:v>ITEM00345_2</x:v>
      </x:c>
      <x:c r="B817" s="15" t="str">
        <x:v>ORD00345</x:v>
      </x:c>
      <x:c r="C817" s="15" t="str">
        <x:v>PROD033</x:v>
      </x:c>
      <x:c r="D817" s="15" t="n">
        <x:v>7</x:v>
      </x:c>
      <x:c r="E817" s="15" t="n">
        <x:v>3912.41</x:v>
      </x:c>
      <x:c r="F817" s="15" t="n">
        <x:v>0</x:v>
      </x:c>
      <x:c r="G817" s="15" t="n">
        <x:v>27386.87</x:v>
      </x:c>
      <x:c r="H817" s="15" t="n">
        <x:v>27386.87</x:v>
      </x:c>
      <x:c r="I817" s="15" t="n">
        <x:v>20937</x:v>
      </x:c>
      <x:c r="J817" s="15" t="n">
        <x:v>6449.87</x:v>
      </x:c>
      <x:c r="K817" t="str">
        <x:f>XLOOKUP(B817,Orders!A:A,Orders!E:E,"")</x:f>
        <x:v>East</x:v>
      </x:c>
      <x:c r="L817" t="n">
        <x:f>XLOOKUP(B817,Orders!A:A,Orders!B:B,"")</x:f>
        <x:v>45911</x:v>
      </x:c>
      <x:c r="M817" t="str">
        <x:f>XLOOKUP(C817,Products!A:A,Products!C:C,"")</x:f>
        <x:v>Furniture</x:v>
      </x:c>
    </x:row>
    <x:row r="818">
      <x:c r="A818" s="15" t="str">
        <x:v>ITEM00345_3</x:v>
      </x:c>
      <x:c r="B818" s="15" t="str">
        <x:v>ORD00345</x:v>
      </x:c>
      <x:c r="C818" s="15" t="str">
        <x:v>PROD014</x:v>
      </x:c>
      <x:c r="D818" s="15" t="n">
        <x:v>1</x:v>
      </x:c>
      <x:c r="E818" s="15" t="n">
        <x:v>1611.65</x:v>
      </x:c>
      <x:c r="F818" s="15" t="n">
        <x:v>0.1</x:v>
      </x:c>
      <x:c r="G818" s="15" t="n">
        <x:v>1611.65</x:v>
      </x:c>
      <x:c r="H818" s="15" t="n">
        <x:v>1450.49</x:v>
      </x:c>
      <x:c r="I818" s="15" t="n">
        <x:v>1233</x:v>
      </x:c>
      <x:c r="J818" s="15" t="n">
        <x:v>217.49</x:v>
      </x:c>
      <x:c r="K818" t="str">
        <x:f>XLOOKUP(B818,Orders!A:A,Orders!E:E,"")</x:f>
        <x:v>East</x:v>
      </x:c>
      <x:c r="L818" t="n">
        <x:f>XLOOKUP(B818,Orders!A:A,Orders!B:B,"")</x:f>
        <x:v>45911</x:v>
      </x:c>
      <x:c r="M818" t="str">
        <x:f>XLOOKUP(C818,Products!A:A,Products!C:C,"")</x:f>
        <x:v>Office Supplies</x:v>
      </x:c>
    </x:row>
    <x:row r="819">
      <x:c r="A819" s="15" t="str">
        <x:v>ITEM00346_1</x:v>
      </x:c>
      <x:c r="B819" s="15" t="str">
        <x:v>ORD00346</x:v>
      </x:c>
      <x:c r="C819" s="15" t="str">
        <x:v>PROD005</x:v>
      </x:c>
      <x:c r="D819" s="15" t="n">
        <x:v>7</x:v>
      </x:c>
      <x:c r="E819" s="15" t="n">
        <x:v>6453.62</x:v>
      </x:c>
      <x:c r="F819" s="15" t="n">
        <x:v>0.1</x:v>
      </x:c>
      <x:c r="G819" s="15" t="n">
        <x:v>45175.34</x:v>
      </x:c>
      <x:c r="H819" s="15" t="n">
        <x:v>40657.81</x:v>
      </x:c>
      <x:c r="I819" s="15" t="n">
        <x:v>33936</x:v>
      </x:c>
      <x:c r="J819" s="15" t="n">
        <x:v>6721.81</x:v>
      </x:c>
      <x:c r="K819" t="str">
        <x:f>XLOOKUP(B819,Orders!A:A,Orders!E:E,"")</x:f>
        <x:v>West</x:v>
      </x:c>
      <x:c r="L819" t="n">
        <x:f>XLOOKUP(B819,Orders!A:A,Orders!B:B,"")</x:f>
        <x:v>46035</x:v>
      </x:c>
      <x:c r="M819" t="str">
        <x:f>XLOOKUP(C819,Products!A:A,Products!C:C,"")</x:f>
        <x:v>Office Supplies</x:v>
      </x:c>
    </x:row>
    <x:row r="820">
      <x:c r="A820" s="15" t="str">
        <x:v>ITEM00346_2</x:v>
      </x:c>
      <x:c r="B820" s="15" t="str">
        <x:v>ORD00346</x:v>
      </x:c>
      <x:c r="C820" s="15" t="str">
        <x:v>PROD017</x:v>
      </x:c>
      <x:c r="D820" s="15" t="n">
        <x:v>4</x:v>
      </x:c>
      <x:c r="E820" s="15" t="n">
        <x:v>7311.62</x:v>
      </x:c>
      <x:c r="F820" s="15" t="n">
        <x:v>0.15</x:v>
      </x:c>
      <x:c r="G820" s="15" t="n">
        <x:v>29246.48</x:v>
      </x:c>
      <x:c r="H820" s="15" t="n">
        <x:v>24859.51</x:v>
      </x:c>
      <x:c r="I820" s="15" t="n">
        <x:v>21032</x:v>
      </x:c>
      <x:c r="J820" s="15" t="n">
        <x:v>3827.51</x:v>
      </x:c>
      <x:c r="K820" t="str">
        <x:f>XLOOKUP(B820,Orders!A:A,Orders!E:E,"")</x:f>
        <x:v>West</x:v>
      </x:c>
      <x:c r="L820" t="n">
        <x:f>XLOOKUP(B820,Orders!A:A,Orders!B:B,"")</x:f>
        <x:v>46035</x:v>
      </x:c>
      <x:c r="M820" t="str">
        <x:f>XLOOKUP(C820,Products!A:A,Products!C:C,"")</x:f>
        <x:v>Accessories</x:v>
      </x:c>
    </x:row>
    <x:row r="821">
      <x:c r="A821" s="15" t="str">
        <x:v>ITEM00346_3</x:v>
      </x:c>
      <x:c r="B821" s="15" t="str">
        <x:v>ORD00346</x:v>
      </x:c>
      <x:c r="C821" s="15" t="str">
        <x:v>PROD009</x:v>
      </x:c>
      <x:c r="D821" s="15" t="n">
        <x:v>2</x:v>
      </x:c>
      <x:c r="E821" s="15" t="n">
        <x:v>4722.96</x:v>
      </x:c>
      <x:c r="F821" s="15" t="n">
        <x:v>0</x:v>
      </x:c>
      <x:c r="G821" s="15" t="n">
        <x:v>9445.92</x:v>
      </x:c>
      <x:c r="H821" s="15" t="n">
        <x:v>9445.92</x:v>
      </x:c>
      <x:c r="I821" s="15" t="n">
        <x:v>6426</x:v>
      </x:c>
      <x:c r="J821" s="15" t="n">
        <x:v>3019.92</x:v>
      </x:c>
      <x:c r="K821" t="str">
        <x:f>XLOOKUP(B821,Orders!A:A,Orders!E:E,"")</x:f>
        <x:v>West</x:v>
      </x:c>
      <x:c r="L821" t="n">
        <x:f>XLOOKUP(B821,Orders!A:A,Orders!B:B,"")</x:f>
        <x:v>46035</x:v>
      </x:c>
      <x:c r="M821" t="str">
        <x:f>XLOOKUP(C821,Products!A:A,Products!C:C,"")</x:f>
        <x:v>Accessories</x:v>
      </x:c>
    </x:row>
    <x:row r="822">
      <x:c r="A822" s="15" t="str">
        <x:v>ITEM00346_4</x:v>
      </x:c>
      <x:c r="B822" s="15" t="str">
        <x:v>ORD00346</x:v>
      </x:c>
      <x:c r="C822" s="15" t="str">
        <x:v>PROD004</x:v>
      </x:c>
      <x:c r="D822" s="15" t="n">
        <x:v>4</x:v>
      </x:c>
      <x:c r="E822" s="15" t="n">
        <x:v>5435.39</x:v>
      </x:c>
      <x:c r="F822" s="15" t="n">
        <x:v>0</x:v>
      </x:c>
      <x:c r="G822" s="15" t="n">
        <x:v>21741.56</x:v>
      </x:c>
      <x:c r="H822" s="15" t="n">
        <x:v>21741.56</x:v>
      </x:c>
      <x:c r="I822" s="15" t="n">
        <x:v>16564</x:v>
      </x:c>
      <x:c r="J822" s="15" t="n">
        <x:v>5177.56</x:v>
      </x:c>
      <x:c r="K822" t="str">
        <x:f>XLOOKUP(B822,Orders!A:A,Orders!E:E,"")</x:f>
        <x:v>West</x:v>
      </x:c>
      <x:c r="L822" t="n">
        <x:f>XLOOKUP(B822,Orders!A:A,Orders!B:B,"")</x:f>
        <x:v>46035</x:v>
      </x:c>
      <x:c r="M822" t="str">
        <x:f>XLOOKUP(C822,Products!A:A,Products!C:C,"")</x:f>
        <x:v>Office Supplies</x:v>
      </x:c>
    </x:row>
    <x:row r="823">
      <x:c r="A823" s="15" t="str">
        <x:v>ITEM00347_1</x:v>
      </x:c>
      <x:c r="B823" s="15" t="str">
        <x:v>ORD00347</x:v>
      </x:c>
      <x:c r="C823" s="15" t="str">
        <x:v>PROD013</x:v>
      </x:c>
      <x:c r="D823" s="15" t="n">
        <x:v>4</x:v>
      </x:c>
      <x:c r="E823" s="15" t="n">
        <x:v>7614.02</x:v>
      </x:c>
      <x:c r="F823" s="15" t="n">
        <x:v>0.1</x:v>
      </x:c>
      <x:c r="G823" s="15" t="n">
        <x:v>30456.08</x:v>
      </x:c>
      <x:c r="H823" s="15" t="n">
        <x:v>27410.47</x:v>
      </x:c>
      <x:c r="I823" s="15" t="n">
        <x:v>24308</x:v>
      </x:c>
      <x:c r="J823" s="15" t="n">
        <x:v>3102.47</x:v>
      </x:c>
      <x:c r="K823" t="str">
        <x:f>XLOOKUP(B823,Orders!A:A,Orders!E:E,"")</x:f>
        <x:v>North</x:v>
      </x:c>
      <x:c r="L823" t="n">
        <x:f>XLOOKUP(B823,Orders!A:A,Orders!B:B,"")</x:f>
        <x:v>45905</x:v>
      </x:c>
      <x:c r="M823" t="str">
        <x:f>XLOOKUP(C823,Products!A:A,Products!C:C,"")</x:f>
        <x:v>Furniture</x:v>
      </x:c>
    </x:row>
    <x:row r="824">
      <x:c r="A824" s="15" t="str">
        <x:v>ITEM00347_2</x:v>
      </x:c>
      <x:c r="B824" s="15" t="str">
        <x:v>ORD00347</x:v>
      </x:c>
      <x:c r="C824" s="15" t="str">
        <x:v>PROD001</x:v>
      </x:c>
      <x:c r="D824" s="15" t="n">
        <x:v>8</x:v>
      </x:c>
      <x:c r="E824" s="15" t="n">
        <x:v>8672.7</x:v>
      </x:c>
      <x:c r="F824" s="15" t="n">
        <x:v>0</x:v>
      </x:c>
      <x:c r="G824" s="15" t="n">
        <x:v>69381.6</x:v>
      </x:c>
      <x:c r="H824" s="15" t="n">
        <x:v>69381.6</x:v>
      </x:c>
      <x:c r="I824" s="15" t="n">
        <x:v>49304</x:v>
      </x:c>
      <x:c r="J824" s="15" t="n">
        <x:v>20077.6</x:v>
      </x:c>
      <x:c r="K824" t="str">
        <x:f>XLOOKUP(B824,Orders!A:A,Orders!E:E,"")</x:f>
        <x:v>North</x:v>
      </x:c>
      <x:c r="L824" t="n">
        <x:f>XLOOKUP(B824,Orders!A:A,Orders!B:B,"")</x:f>
        <x:v>45905</x:v>
      </x:c>
      <x:c r="M824" t="str">
        <x:f>XLOOKUP(C824,Products!A:A,Products!C:C,"")</x:f>
        <x:v>Office Supplies</x:v>
      </x:c>
    </x:row>
    <x:row r="825">
      <x:c r="A825" s="15" t="str">
        <x:v>ITEM00347_3</x:v>
      </x:c>
      <x:c r="B825" s="15" t="str">
        <x:v>ORD00347</x:v>
      </x:c>
      <x:c r="C825" s="15" t="str">
        <x:v>PROD008</x:v>
      </x:c>
      <x:c r="D825" s="15" t="n">
        <x:v>3</x:v>
      </x:c>
      <x:c r="E825" s="15" t="n">
        <x:v>8534.48</x:v>
      </x:c>
      <x:c r="F825" s="15" t="n">
        <x:v>0.15</x:v>
      </x:c>
      <x:c r="G825" s="15" t="n">
        <x:v>25603.44</x:v>
      </x:c>
      <x:c r="H825" s="15" t="n">
        <x:v>21762.92</x:v>
      </x:c>
      <x:c r="I825" s="15" t="n">
        <x:v>18591</x:v>
      </x:c>
      <x:c r="J825" s="15" t="n">
        <x:v>3171.92</x:v>
      </x:c>
      <x:c r="K825" t="str">
        <x:f>XLOOKUP(B825,Orders!A:A,Orders!E:E,"")</x:f>
        <x:v>North</x:v>
      </x:c>
      <x:c r="L825" t="n">
        <x:f>XLOOKUP(B825,Orders!A:A,Orders!B:B,"")</x:f>
        <x:v>45905</x:v>
      </x:c>
      <x:c r="M825" t="str">
        <x:f>XLOOKUP(C825,Products!A:A,Products!C:C,"")</x:f>
        <x:v>Office Supplies</x:v>
      </x:c>
    </x:row>
    <x:row r="826">
      <x:c r="A826" s="15" t="str">
        <x:v>ITEM00347_4</x:v>
      </x:c>
      <x:c r="B826" s="15" t="str">
        <x:v>ORD00347</x:v>
      </x:c>
      <x:c r="C826" s="15" t="str">
        <x:v>PROD008</x:v>
      </x:c>
      <x:c r="D826" s="15" t="n">
        <x:v>4</x:v>
      </x:c>
      <x:c r="E826" s="15" t="n">
        <x:v>8534.48</x:v>
      </x:c>
      <x:c r="F826" s="15" t="n">
        <x:v>0</x:v>
      </x:c>
      <x:c r="G826" s="15" t="n">
        <x:v>34137.92</x:v>
      </x:c>
      <x:c r="H826" s="15" t="n">
        <x:v>34137.92</x:v>
      </x:c>
      <x:c r="I826" s="15" t="n">
        <x:v>24788</x:v>
      </x:c>
      <x:c r="J826" s="15" t="n">
        <x:v>9349.92</x:v>
      </x:c>
      <x:c r="K826" t="str">
        <x:f>XLOOKUP(B826,Orders!A:A,Orders!E:E,"")</x:f>
        <x:v>North</x:v>
      </x:c>
      <x:c r="L826" t="n">
        <x:f>XLOOKUP(B826,Orders!A:A,Orders!B:B,"")</x:f>
        <x:v>45905</x:v>
      </x:c>
      <x:c r="M826" t="str">
        <x:f>XLOOKUP(C826,Products!A:A,Products!C:C,"")</x:f>
        <x:v>Office Supplies</x:v>
      </x:c>
    </x:row>
    <x:row r="827">
      <x:c r="A827" s="15" t="str">
        <x:v>ITEM00348_1</x:v>
      </x:c>
      <x:c r="B827" s="15" t="str">
        <x:v>ORD00348</x:v>
      </x:c>
      <x:c r="C827" s="15" t="str">
        <x:v>PROD009</x:v>
      </x:c>
      <x:c r="D827" s="15" t="n">
        <x:v>4</x:v>
      </x:c>
      <x:c r="E827" s="15" t="n">
        <x:v>4722.96</x:v>
      </x:c>
      <x:c r="F827" s="15" t="n">
        <x:v>0</x:v>
      </x:c>
      <x:c r="G827" s="15" t="n">
        <x:v>18891.84</x:v>
      </x:c>
      <x:c r="H827" s="15" t="n">
        <x:v>18891.84</x:v>
      </x:c>
      <x:c r="I827" s="15" t="n">
        <x:v>12852</x:v>
      </x:c>
      <x:c r="J827" s="15" t="n">
        <x:v>6039.84</x:v>
      </x:c>
      <x:c r="K827" t="str">
        <x:f>XLOOKUP(B827,Orders!A:A,Orders!E:E,"")</x:f>
        <x:v>East</x:v>
      </x:c>
      <x:c r="L827" t="n">
        <x:f>XLOOKUP(B827,Orders!A:A,Orders!B:B,"")</x:f>
        <x:v>46063</x:v>
      </x:c>
      <x:c r="M827" t="str">
        <x:f>XLOOKUP(C827,Products!A:A,Products!C:C,"")</x:f>
        <x:v>Accessories</x:v>
      </x:c>
    </x:row>
    <x:row r="828">
      <x:c r="A828" s="15" t="str">
        <x:v>ITEM00348_2</x:v>
      </x:c>
      <x:c r="B828" s="15" t="str">
        <x:v>ORD00348</x:v>
      </x:c>
      <x:c r="C828" s="15" t="str">
        <x:v>PROD005</x:v>
      </x:c>
      <x:c r="D828" s="15" t="n">
        <x:v>3</x:v>
      </x:c>
      <x:c r="E828" s="15" t="n">
        <x:v>6453.62</x:v>
      </x:c>
      <x:c r="F828" s="15" t="n">
        <x:v>0</x:v>
      </x:c>
      <x:c r="G828" s="15" t="n">
        <x:v>19360.86</x:v>
      </x:c>
      <x:c r="H828" s="15" t="n">
        <x:v>19360.86</x:v>
      </x:c>
      <x:c r="I828" s="15" t="n">
        <x:v>14544</x:v>
      </x:c>
      <x:c r="J828" s="15" t="n">
        <x:v>4816.86</x:v>
      </x:c>
      <x:c r="K828" t="str">
        <x:f>XLOOKUP(B828,Orders!A:A,Orders!E:E,"")</x:f>
        <x:v>East</x:v>
      </x:c>
      <x:c r="L828" t="n">
        <x:f>XLOOKUP(B828,Orders!A:A,Orders!B:B,"")</x:f>
        <x:v>46063</x:v>
      </x:c>
      <x:c r="M828" t="str">
        <x:f>XLOOKUP(C828,Products!A:A,Products!C:C,"")</x:f>
        <x:v>Office Supplies</x:v>
      </x:c>
    </x:row>
    <x:row r="829">
      <x:c r="A829" s="15" t="str">
        <x:v>ITEM00348_3</x:v>
      </x:c>
      <x:c r="B829" s="15" t="str">
        <x:v>ORD00348</x:v>
      </x:c>
      <x:c r="C829" s="15" t="str">
        <x:v>PROD015</x:v>
      </x:c>
      <x:c r="D829" s="15" t="n">
        <x:v>2</x:v>
      </x:c>
      <x:c r="E829" s="15" t="n">
        <x:v>5903.1</x:v>
      </x:c>
      <x:c r="F829" s="15" t="n">
        <x:v>0.1</x:v>
      </x:c>
      <x:c r="G829" s="15" t="n">
        <x:v>11806.2</x:v>
      </x:c>
      <x:c r="H829" s="15" t="n">
        <x:v>10625.58</x:v>
      </x:c>
      <x:c r="I829" s="15" t="n">
        <x:v>9570</x:v>
      </x:c>
      <x:c r="J829" s="15" t="n">
        <x:v>1055.58</x:v>
      </x:c>
      <x:c r="K829" t="str">
        <x:f>XLOOKUP(B829,Orders!A:A,Orders!E:E,"")</x:f>
        <x:v>East</x:v>
      </x:c>
      <x:c r="L829" t="n">
        <x:f>XLOOKUP(B829,Orders!A:A,Orders!B:B,"")</x:f>
        <x:v>46063</x:v>
      </x:c>
      <x:c r="M829" t="str">
        <x:f>XLOOKUP(C829,Products!A:A,Products!C:C,"")</x:f>
        <x:v>Electronics</x:v>
      </x:c>
    </x:row>
    <x:row r="830">
      <x:c r="A830" s="15" t="str">
        <x:v>ITEM00349_1</x:v>
      </x:c>
      <x:c r="B830" s="15" t="str">
        <x:v>ORD00349</x:v>
      </x:c>
      <x:c r="C830" s="15" t="str">
        <x:v>PROD027</x:v>
      </x:c>
      <x:c r="D830" s="15" t="n">
        <x:v>3</x:v>
      </x:c>
      <x:c r="E830" s="15" t="n">
        <x:v>6979.71</x:v>
      </x:c>
      <x:c r="F830" s="15" t="n">
        <x:v>0</x:v>
      </x:c>
      <x:c r="G830" s="15" t="n">
        <x:v>20939.13</x:v>
      </x:c>
      <x:c r="H830" s="15" t="n">
        <x:v>20939.13</x:v>
      </x:c>
      <x:c r="I830" s="15" t="n">
        <x:v>16911</x:v>
      </x:c>
      <x:c r="J830" s="15" t="n">
        <x:v>4028.13</x:v>
      </x:c>
      <x:c r="K830" t="str">
        <x:f>XLOOKUP(B830,Orders!A:A,Orders!E:E,"")</x:f>
        <x:v>West</x:v>
      </x:c>
      <x:c r="L830" t="n">
        <x:f>XLOOKUP(B830,Orders!A:A,Orders!B:B,"")</x:f>
        <x:v>45919</x:v>
      </x:c>
      <x:c r="M830" t="str">
        <x:f>XLOOKUP(C830,Products!A:A,Products!C:C,"")</x:f>
        <x:v>Electronics</x:v>
      </x:c>
    </x:row>
    <x:row r="831">
      <x:c r="A831" s="15" t="str">
        <x:v>ITEM00349_2</x:v>
      </x:c>
      <x:c r="B831" s="15" t="str">
        <x:v>ORD00349</x:v>
      </x:c>
      <x:c r="C831" s="15" t="str">
        <x:v>PROD038</x:v>
      </x:c>
      <x:c r="D831" s="15" t="n">
        <x:v>3</x:v>
      </x:c>
      <x:c r="E831" s="15" t="n">
        <x:v>5219.7</x:v>
      </x:c>
      <x:c r="F831" s="15" t="n">
        <x:v>0.05</x:v>
      </x:c>
      <x:c r="G831" s="15" t="n">
        <x:v>15659.1</x:v>
      </x:c>
      <x:c r="H831" s="15" t="n">
        <x:v>14876.15</x:v>
      </x:c>
      <x:c r="I831" s="15" t="n">
        <x:v>11808</x:v>
      </x:c>
      <x:c r="J831" s="15" t="n">
        <x:v>3068.15</x:v>
      </x:c>
      <x:c r="K831" t="str">
        <x:f>XLOOKUP(B831,Orders!A:A,Orders!E:E,"")</x:f>
        <x:v>West</x:v>
      </x:c>
      <x:c r="L831" t="n">
        <x:f>XLOOKUP(B831,Orders!A:A,Orders!B:B,"")</x:f>
        <x:v>45919</x:v>
      </x:c>
      <x:c r="M831" t="str">
        <x:f>XLOOKUP(C831,Products!A:A,Products!C:C,"")</x:f>
        <x:v>Office Supplies</x:v>
      </x:c>
    </x:row>
    <x:row r="832">
      <x:c r="A832" s="15" t="str">
        <x:v>ITEM00349_3</x:v>
      </x:c>
      <x:c r="B832" s="15" t="str">
        <x:v>ORD00349</x:v>
      </x:c>
      <x:c r="C832" s="15" t="str">
        <x:v>PROD002</x:v>
      </x:c>
      <x:c r="D832" s="15" t="n">
        <x:v>7</x:v>
      </x:c>
      <x:c r="E832" s="15" t="n">
        <x:v>4655.92</x:v>
      </x:c>
      <x:c r="F832" s="15" t="n">
        <x:v>0</x:v>
      </x:c>
      <x:c r="G832" s="15" t="n">
        <x:v>32591.44</x:v>
      </x:c>
      <x:c r="H832" s="15" t="n">
        <x:v>32591.44</x:v>
      </x:c>
      <x:c r="I832" s="15" t="n">
        <x:v>21931</x:v>
      </x:c>
      <x:c r="J832" s="15" t="n">
        <x:v>10660.44</x:v>
      </x:c>
      <x:c r="K832" t="str">
        <x:f>XLOOKUP(B832,Orders!A:A,Orders!E:E,"")</x:f>
        <x:v>West</x:v>
      </x:c>
      <x:c r="L832" t="n">
        <x:f>XLOOKUP(B832,Orders!A:A,Orders!B:B,"")</x:f>
        <x:v>45919</x:v>
      </x:c>
      <x:c r="M832" t="str">
        <x:f>XLOOKUP(C832,Products!A:A,Products!C:C,"")</x:f>
        <x:v>Accessories</x:v>
      </x:c>
    </x:row>
    <x:row r="833">
      <x:c r="A833" s="15" t="str">
        <x:v>ITEM00350_1</x:v>
      </x:c>
      <x:c r="B833" s="15" t="str">
        <x:v>ORD00350</x:v>
      </x:c>
      <x:c r="C833" s="15" t="str">
        <x:v>PROD023</x:v>
      </x:c>
      <x:c r="D833" s="15" t="n">
        <x:v>5</x:v>
      </x:c>
      <x:c r="E833" s="15" t="n">
        <x:v>5153.56</x:v>
      </x:c>
      <x:c r="F833" s="15" t="n">
        <x:v>0.15</x:v>
      </x:c>
      <x:c r="G833" s="15" t="n">
        <x:v>25767.8</x:v>
      </x:c>
      <x:c r="H833" s="15" t="n">
        <x:v>21902.63</x:v>
      </x:c>
      <x:c r="I833" s="15" t="n">
        <x:v>19790</x:v>
      </x:c>
      <x:c r="J833" s="15" t="n">
        <x:v>2112.63</x:v>
      </x:c>
      <x:c r="K833" t="str">
        <x:f>XLOOKUP(B833,Orders!A:A,Orders!E:E,"")</x:f>
        <x:v>East</x:v>
      </x:c>
      <x:c r="L833" t="n">
        <x:f>XLOOKUP(B833,Orders!A:A,Orders!B:B,"")</x:f>
        <x:v>45825</x:v>
      </x:c>
      <x:c r="M833" t="str">
        <x:f>XLOOKUP(C833,Products!A:A,Products!C:C,"")</x:f>
        <x:v>Electronics</x:v>
      </x:c>
    </x:row>
    <x:row r="834">
      <x:c r="A834" s="15" t="str">
        <x:v>ITEM00351_1</x:v>
      </x:c>
      <x:c r="B834" s="15" t="str">
        <x:v>ORD00351</x:v>
      </x:c>
      <x:c r="C834" s="15" t="str">
        <x:v>PROD002</x:v>
      </x:c>
      <x:c r="D834" s="15" t="n">
        <x:v>8</x:v>
      </x:c>
      <x:c r="E834" s="15" t="n">
        <x:v>4655.92</x:v>
      </x:c>
      <x:c r="F834" s="15" t="n">
        <x:v>0.05</x:v>
      </x:c>
      <x:c r="G834" s="15" t="n">
        <x:v>37247.36</x:v>
      </x:c>
      <x:c r="H834" s="15" t="n">
        <x:v>35384.99</x:v>
      </x:c>
      <x:c r="I834" s="15" t="n">
        <x:v>25064</x:v>
      </x:c>
      <x:c r="J834" s="15" t="n">
        <x:v>10320.99</x:v>
      </x:c>
      <x:c r="K834" t="str">
        <x:f>XLOOKUP(B834,Orders!A:A,Orders!E:E,"")</x:f>
        <x:v>South</x:v>
      </x:c>
      <x:c r="L834" t="n">
        <x:f>XLOOKUP(B834,Orders!A:A,Orders!B:B,"")</x:f>
        <x:v>46054</x:v>
      </x:c>
      <x:c r="M834" t="str">
        <x:f>XLOOKUP(C834,Products!A:A,Products!C:C,"")</x:f>
        <x:v>Accessories</x:v>
      </x:c>
    </x:row>
    <x:row r="835">
      <x:c r="A835" s="15" t="str">
        <x:v>ITEM00351_2</x:v>
      </x:c>
      <x:c r="B835" s="15" t="str">
        <x:v>ORD00351</x:v>
      </x:c>
      <x:c r="C835" s="15" t="str">
        <x:v>PROD021</x:v>
      </x:c>
      <x:c r="D835" s="15" t="n">
        <x:v>1</x:v>
      </x:c>
      <x:c r="E835" s="15" t="n">
        <x:v>6748.85</x:v>
      </x:c>
      <x:c r="F835" s="15" t="n">
        <x:v>0</x:v>
      </x:c>
      <x:c r="G835" s="15" t="n">
        <x:v>6748.85</x:v>
      </x:c>
      <x:c r="H835" s="15" t="n">
        <x:v>6748.85</x:v>
      </x:c>
      <x:c r="I835" s="15" t="n">
        <x:v>4999</x:v>
      </x:c>
      <x:c r="J835" s="15" t="n">
        <x:v>1749.85</x:v>
      </x:c>
      <x:c r="K835" t="str">
        <x:f>XLOOKUP(B835,Orders!A:A,Orders!E:E,"")</x:f>
        <x:v>South</x:v>
      </x:c>
      <x:c r="L835" t="n">
        <x:f>XLOOKUP(B835,Orders!A:A,Orders!B:B,"")</x:f>
        <x:v>46054</x:v>
      </x:c>
      <x:c r="M835" t="str">
        <x:f>XLOOKUP(C835,Products!A:A,Products!C:C,"")</x:f>
        <x:v>Electronics</x:v>
      </x:c>
    </x:row>
    <x:row r="836">
      <x:c r="A836" s="15" t="str">
        <x:v>ITEM00351_3</x:v>
      </x:c>
      <x:c r="B836" s="15" t="str">
        <x:v>ORD00351</x:v>
      </x:c>
      <x:c r="C836" s="15" t="str">
        <x:v>PROD039</x:v>
      </x:c>
      <x:c r="D836" s="15" t="n">
        <x:v>3</x:v>
      </x:c>
      <x:c r="E836" s="15" t="n">
        <x:v>5945.62</x:v>
      </x:c>
      <x:c r="F836" s="15" t="n">
        <x:v>0</x:v>
      </x:c>
      <x:c r="G836" s="15" t="n">
        <x:v>17836.86</x:v>
      </x:c>
      <x:c r="H836" s="15" t="n">
        <x:v>17836.86</x:v>
      </x:c>
      <x:c r="I836" s="15" t="n">
        <x:v>13719</x:v>
      </x:c>
      <x:c r="J836" s="15" t="n">
        <x:v>4117.86</x:v>
      </x:c>
      <x:c r="K836" t="str">
        <x:f>XLOOKUP(B836,Orders!A:A,Orders!E:E,"")</x:f>
        <x:v>South</x:v>
      </x:c>
      <x:c r="L836" t="n">
        <x:f>XLOOKUP(B836,Orders!A:A,Orders!B:B,"")</x:f>
        <x:v>46054</x:v>
      </x:c>
      <x:c r="M836" t="str">
        <x:f>XLOOKUP(C836,Products!A:A,Products!C:C,"")</x:f>
        <x:v>Office Supplies</x:v>
      </x:c>
    </x:row>
    <x:row r="837">
      <x:c r="A837" s="15" t="str">
        <x:v>ITEM00352_1</x:v>
      </x:c>
      <x:c r="B837" s="15" t="str">
        <x:v>ORD00352</x:v>
      </x:c>
      <x:c r="C837" s="15" t="str">
        <x:v>PROD015</x:v>
      </x:c>
      <x:c r="D837" s="15" t="n">
        <x:v>8</x:v>
      </x:c>
      <x:c r="E837" s="15" t="n">
        <x:v>5903.1</x:v>
      </x:c>
      <x:c r="F837" s="15" t="n">
        <x:v>0</x:v>
      </x:c>
      <x:c r="G837" s="15" t="n">
        <x:v>47224.8</x:v>
      </x:c>
      <x:c r="H837" s="15" t="n">
        <x:v>47224.8</x:v>
      </x:c>
      <x:c r="I837" s="15" t="n">
        <x:v>38280</x:v>
      </x:c>
      <x:c r="J837" s="15" t="n">
        <x:v>8944.8</x:v>
      </x:c>
      <x:c r="K837" t="str">
        <x:f>XLOOKUP(B837,Orders!A:A,Orders!E:E,"")</x:f>
        <x:v>East</x:v>
      </x:c>
      <x:c r="L837" t="n">
        <x:f>XLOOKUP(B837,Orders!A:A,Orders!B:B,"")</x:f>
        <x:v>46083</x:v>
      </x:c>
      <x:c r="M837" t="str">
        <x:f>XLOOKUP(C837,Products!A:A,Products!C:C,"")</x:f>
        <x:v>Electronics</x:v>
      </x:c>
    </x:row>
    <x:row r="838">
      <x:c r="A838" s="15" t="str">
        <x:v>ITEM00352_2</x:v>
      </x:c>
      <x:c r="B838" s="15" t="str">
        <x:v>ORD00352</x:v>
      </x:c>
      <x:c r="C838" s="15" t="str">
        <x:v>PROD029</x:v>
      </x:c>
      <x:c r="D838" s="15" t="n">
        <x:v>3</x:v>
      </x:c>
      <x:c r="E838" s="15" t="n">
        <x:v>8430.77</x:v>
      </x:c>
      <x:c r="F838" s="15" t="n">
        <x:v>0.05</x:v>
      </x:c>
      <x:c r="G838" s="15" t="n">
        <x:v>25292.31</x:v>
      </x:c>
      <x:c r="H838" s="15" t="n">
        <x:v>24027.69</x:v>
      </x:c>
      <x:c r="I838" s="15" t="n">
        <x:v>18555</x:v>
      </x:c>
      <x:c r="J838" s="15" t="n">
        <x:v>5472.69</x:v>
      </x:c>
      <x:c r="K838" t="str">
        <x:f>XLOOKUP(B838,Orders!A:A,Orders!E:E,"")</x:f>
        <x:v>East</x:v>
      </x:c>
      <x:c r="L838" t="n">
        <x:f>XLOOKUP(B838,Orders!A:A,Orders!B:B,"")</x:f>
        <x:v>46083</x:v>
      </x:c>
      <x:c r="M838" t="str">
        <x:f>XLOOKUP(C838,Products!A:A,Products!C:C,"")</x:f>
        <x:v>Office Supplies</x:v>
      </x:c>
    </x:row>
    <x:row r="839">
      <x:c r="A839" s="15" t="str">
        <x:v>ITEM00352_3</x:v>
      </x:c>
      <x:c r="B839" s="15" t="str">
        <x:v>ORD00352</x:v>
      </x:c>
      <x:c r="C839" s="15" t="str">
        <x:v>PROD005</x:v>
      </x:c>
      <x:c r="D839" s="15" t="n">
        <x:v>7</x:v>
      </x:c>
      <x:c r="E839" s="15" t="n">
        <x:v>6453.62</x:v>
      </x:c>
      <x:c r="F839" s="15" t="n">
        <x:v>0.05</x:v>
      </x:c>
      <x:c r="G839" s="15" t="n">
        <x:v>45175.34</x:v>
      </x:c>
      <x:c r="H839" s="15" t="n">
        <x:v>42916.57</x:v>
      </x:c>
      <x:c r="I839" s="15" t="n">
        <x:v>33936</x:v>
      </x:c>
      <x:c r="J839" s="15" t="n">
        <x:v>8980.57</x:v>
      </x:c>
      <x:c r="K839" t="str">
        <x:f>XLOOKUP(B839,Orders!A:A,Orders!E:E,"")</x:f>
        <x:v>East</x:v>
      </x:c>
      <x:c r="L839" t="n">
        <x:f>XLOOKUP(B839,Orders!A:A,Orders!B:B,"")</x:f>
        <x:v>46083</x:v>
      </x:c>
      <x:c r="M839" t="str">
        <x:f>XLOOKUP(C839,Products!A:A,Products!C:C,"")</x:f>
        <x:v>Office Supplies</x:v>
      </x:c>
    </x:row>
    <x:row r="840">
      <x:c r="A840" s="15" t="str">
        <x:v>ITEM00353_1</x:v>
      </x:c>
      <x:c r="B840" s="15" t="str">
        <x:v>ORD00353</x:v>
      </x:c>
      <x:c r="C840" s="15" t="str">
        <x:v>PROD039</x:v>
      </x:c>
      <x:c r="D840" s="15" t="n">
        <x:v>1</x:v>
      </x:c>
      <x:c r="E840" s="15" t="n">
        <x:v>5945.62</x:v>
      </x:c>
      <x:c r="F840" s="15" t="n">
        <x:v>0</x:v>
      </x:c>
      <x:c r="G840" s="15" t="n">
        <x:v>5945.62</x:v>
      </x:c>
      <x:c r="H840" s="15" t="n">
        <x:v>5945.62</x:v>
      </x:c>
      <x:c r="I840" s="15" t="n">
        <x:v>4573</x:v>
      </x:c>
      <x:c r="J840" s="15" t="n">
        <x:v>1372.62</x:v>
      </x:c>
      <x:c r="K840" t="str">
        <x:f>XLOOKUP(B840,Orders!A:A,Orders!E:E,"")</x:f>
        <x:v>North</x:v>
      </x:c>
      <x:c r="L840" t="n">
        <x:f>XLOOKUP(B840,Orders!A:A,Orders!B:B,"")</x:f>
        <x:v>45868</x:v>
      </x:c>
      <x:c r="M840" t="str">
        <x:f>XLOOKUP(C840,Products!A:A,Products!C:C,"")</x:f>
        <x:v>Office Supplies</x:v>
      </x:c>
    </x:row>
    <x:row r="841">
      <x:c r="A841" s="15" t="str">
        <x:v>ITEM00353_2</x:v>
      </x:c>
      <x:c r="B841" s="15" t="str">
        <x:v>ORD00353</x:v>
      </x:c>
      <x:c r="C841" s="15" t="str">
        <x:v>PROD037</x:v>
      </x:c>
      <x:c r="D841" s="15" t="n">
        <x:v>3</x:v>
      </x:c>
      <x:c r="E841" s="15" t="n">
        <x:v>9876.8</x:v>
      </x:c>
      <x:c r="F841" s="15" t="n">
        <x:v>0</x:v>
      </x:c>
      <x:c r="G841" s="15" t="n">
        <x:v>29630.4</x:v>
      </x:c>
      <x:c r="H841" s="15" t="n">
        <x:v>29630.4</x:v>
      </x:c>
      <x:c r="I841" s="15" t="n">
        <x:v>21372</x:v>
      </x:c>
      <x:c r="J841" s="15" t="n">
        <x:v>8258.4</x:v>
      </x:c>
      <x:c r="K841" t="str">
        <x:f>XLOOKUP(B841,Orders!A:A,Orders!E:E,"")</x:f>
        <x:v>North</x:v>
      </x:c>
      <x:c r="L841" t="n">
        <x:f>XLOOKUP(B841,Orders!A:A,Orders!B:B,"")</x:f>
        <x:v>45868</x:v>
      </x:c>
      <x:c r="M841" t="str">
        <x:f>XLOOKUP(C841,Products!A:A,Products!C:C,"")</x:f>
        <x:v>Accessories</x:v>
      </x:c>
    </x:row>
    <x:row r="842">
      <x:c r="A842" s="15" t="str">
        <x:v>ITEM00353_3</x:v>
      </x:c>
      <x:c r="B842" s="15" t="str">
        <x:v>ORD00353</x:v>
      </x:c>
      <x:c r="C842" s="15" t="str">
        <x:v>PROD011</x:v>
      </x:c>
      <x:c r="D842" s="15" t="n">
        <x:v>5</x:v>
      </x:c>
      <x:c r="E842" s="15" t="n">
        <x:v>7135.27</x:v>
      </x:c>
      <x:c r="F842" s="15" t="n">
        <x:v>0</x:v>
      </x:c>
      <x:c r="G842" s="15" t="n">
        <x:v>35676.35</x:v>
      </x:c>
      <x:c r="H842" s="15" t="n">
        <x:v>35676.35</x:v>
      </x:c>
      <x:c r="I842" s="15" t="n">
        <x:v>26015</x:v>
      </x:c>
      <x:c r="J842" s="15" t="n">
        <x:v>9661.35</x:v>
      </x:c>
      <x:c r="K842" t="str">
        <x:f>XLOOKUP(B842,Orders!A:A,Orders!E:E,"")</x:f>
        <x:v>North</x:v>
      </x:c>
      <x:c r="L842" t="n">
        <x:f>XLOOKUP(B842,Orders!A:A,Orders!B:B,"")</x:f>
        <x:v>45868</x:v>
      </x:c>
      <x:c r="M842" t="str">
        <x:f>XLOOKUP(C842,Products!A:A,Products!C:C,"")</x:f>
        <x:v>Accessories</x:v>
      </x:c>
    </x:row>
    <x:row r="843">
      <x:c r="A843" s="15" t="str">
        <x:v>ITEM00353_4</x:v>
      </x:c>
      <x:c r="B843" s="15" t="str">
        <x:v>ORD00353</x:v>
      </x:c>
      <x:c r="C843" s="15" t="str">
        <x:v>PROD001</x:v>
      </x:c>
      <x:c r="D843" s="15" t="n">
        <x:v>6</x:v>
      </x:c>
      <x:c r="E843" s="15" t="n">
        <x:v>8672.7</x:v>
      </x:c>
      <x:c r="F843" s="15" t="n">
        <x:v>0.05</x:v>
      </x:c>
      <x:c r="G843" s="15" t="n">
        <x:v>52036.2</x:v>
      </x:c>
      <x:c r="H843" s="15" t="n">
        <x:v>49434.39</x:v>
      </x:c>
      <x:c r="I843" s="15" t="n">
        <x:v>36978</x:v>
      </x:c>
      <x:c r="J843" s="15" t="n">
        <x:v>12456.39</x:v>
      </x:c>
      <x:c r="K843" t="str">
        <x:f>XLOOKUP(B843,Orders!A:A,Orders!E:E,"")</x:f>
        <x:v>North</x:v>
      </x:c>
      <x:c r="L843" t="n">
        <x:f>XLOOKUP(B843,Orders!A:A,Orders!B:B,"")</x:f>
        <x:v>45868</x:v>
      </x:c>
      <x:c r="M843" t="str">
        <x:f>XLOOKUP(C843,Products!A:A,Products!C:C,"")</x:f>
        <x:v>Office Supplies</x:v>
      </x:c>
    </x:row>
    <x:row r="844">
      <x:c r="A844" s="15" t="str">
        <x:v>ITEM00354_1</x:v>
      </x:c>
      <x:c r="B844" s="15" t="str">
        <x:v>ORD00354</x:v>
      </x:c>
      <x:c r="C844" s="15" t="str">
        <x:v>PROD024</x:v>
      </x:c>
      <x:c r="D844" s="15" t="n">
        <x:v>4</x:v>
      </x:c>
      <x:c r="E844" s="15" t="n">
        <x:v>4018</x:v>
      </x:c>
      <x:c r="F844" s="15" t="n">
        <x:v>0</x:v>
      </x:c>
      <x:c r="G844" s="15" t="n">
        <x:v>16072</x:v>
      </x:c>
      <x:c r="H844" s="15" t="n">
        <x:v>16072</x:v>
      </x:c>
      <x:c r="I844" s="15" t="n">
        <x:v>12768</x:v>
      </x:c>
      <x:c r="J844" s="15" t="n">
        <x:v>3304</x:v>
      </x:c>
      <x:c r="K844" t="str">
        <x:f>XLOOKUP(B844,Orders!A:A,Orders!E:E,"")</x:f>
        <x:v>West</x:v>
      </x:c>
      <x:c r="L844" t="n">
        <x:f>XLOOKUP(B844,Orders!A:A,Orders!B:B,"")</x:f>
        <x:v>45965</x:v>
      </x:c>
      <x:c r="M844" t="str">
        <x:f>XLOOKUP(C844,Products!A:A,Products!C:C,"")</x:f>
        <x:v>Furniture</x:v>
      </x:c>
    </x:row>
    <x:row r="845">
      <x:c r="A845" s="15" t="str">
        <x:v>ITEM00354_2</x:v>
      </x:c>
      <x:c r="B845" s="15" t="str">
        <x:v>ORD00354</x:v>
      </x:c>
      <x:c r="C845" s="15" t="str">
        <x:v>PROD012</x:v>
      </x:c>
      <x:c r="D845" s="15" t="n">
        <x:v>6</x:v>
      </x:c>
      <x:c r="E845" s="15" t="n">
        <x:v>7989.38</x:v>
      </x:c>
      <x:c r="F845" s="15" t="n">
        <x:v>0</x:v>
      </x:c>
      <x:c r="G845" s="15" t="n">
        <x:v>47936.28</x:v>
      </x:c>
      <x:c r="H845" s="15" t="n">
        <x:v>47936.28</x:v>
      </x:c>
      <x:c r="I845" s="15" t="n">
        <x:v>38910</x:v>
      </x:c>
      <x:c r="J845" s="15" t="n">
        <x:v>9026.28</x:v>
      </x:c>
      <x:c r="K845" t="str">
        <x:f>XLOOKUP(B845,Orders!A:A,Orders!E:E,"")</x:f>
        <x:v>West</x:v>
      </x:c>
      <x:c r="L845" t="n">
        <x:f>XLOOKUP(B845,Orders!A:A,Orders!B:B,"")</x:f>
        <x:v>45965</x:v>
      </x:c>
      <x:c r="M845" t="str">
        <x:f>XLOOKUP(C845,Products!A:A,Products!C:C,"")</x:f>
        <x:v>Electronics</x:v>
      </x:c>
    </x:row>
    <x:row r="846">
      <x:c r="A846" s="15" t="str">
        <x:v>ITEM00354_3</x:v>
      </x:c>
      <x:c r="B846" s="15" t="str">
        <x:v>ORD00354</x:v>
      </x:c>
      <x:c r="C846" s="15" t="str">
        <x:v>PROD007</x:v>
      </x:c>
      <x:c r="D846" s="15" t="n">
        <x:v>8</x:v>
      </x:c>
      <x:c r="E846" s="15" t="n">
        <x:v>5013.07</x:v>
      </x:c>
      <x:c r="F846" s="15" t="n">
        <x:v>0</x:v>
      </x:c>
      <x:c r="G846" s="15" t="n">
        <x:v>40104.56</x:v>
      </x:c>
      <x:c r="H846" s="15" t="n">
        <x:v>40104.56</x:v>
      </x:c>
      <x:c r="I846" s="15" t="n">
        <x:v>31528</x:v>
      </x:c>
      <x:c r="J846" s="15" t="n">
        <x:v>8576.56</x:v>
      </x:c>
      <x:c r="K846" t="str">
        <x:f>XLOOKUP(B846,Orders!A:A,Orders!E:E,"")</x:f>
        <x:v>West</x:v>
      </x:c>
      <x:c r="L846" t="n">
        <x:f>XLOOKUP(B846,Orders!A:A,Orders!B:B,"")</x:f>
        <x:v>45965</x:v>
      </x:c>
      <x:c r="M846" t="str">
        <x:f>XLOOKUP(C846,Products!A:A,Products!C:C,"")</x:f>
        <x:v>Electronics</x:v>
      </x:c>
    </x:row>
    <x:row r="847">
      <x:c r="A847" s="15" t="str">
        <x:v>ITEM00354_4</x:v>
      </x:c>
      <x:c r="B847" s="15" t="str">
        <x:v>ORD00354</x:v>
      </x:c>
      <x:c r="C847" s="15" t="str">
        <x:v>PROD007</x:v>
      </x:c>
      <x:c r="D847" s="15" t="n">
        <x:v>5</x:v>
      </x:c>
      <x:c r="E847" s="15" t="n">
        <x:v>5013.07</x:v>
      </x:c>
      <x:c r="F847" s="15" t="n">
        <x:v>0.15</x:v>
      </x:c>
      <x:c r="G847" s="15" t="n">
        <x:v>25065.35</x:v>
      </x:c>
      <x:c r="H847" s="15" t="n">
        <x:v>21305.55</x:v>
      </x:c>
      <x:c r="I847" s="15" t="n">
        <x:v>19705</x:v>
      </x:c>
      <x:c r="J847" s="15" t="n">
        <x:v>1600.55</x:v>
      </x:c>
      <x:c r="K847" t="str">
        <x:f>XLOOKUP(B847,Orders!A:A,Orders!E:E,"")</x:f>
        <x:v>West</x:v>
      </x:c>
      <x:c r="L847" t="n">
        <x:f>XLOOKUP(B847,Orders!A:A,Orders!B:B,"")</x:f>
        <x:v>45965</x:v>
      </x:c>
      <x:c r="M847" t="str">
        <x:f>XLOOKUP(C847,Products!A:A,Products!C:C,"")</x:f>
        <x:v>Electronics</x:v>
      </x:c>
    </x:row>
    <x:row r="848">
      <x:c r="A848" s="15" t="str">
        <x:v>ITEM00355_1</x:v>
      </x:c>
      <x:c r="B848" s="15" t="str">
        <x:v>ORD00355</x:v>
      </x:c>
      <x:c r="C848" s="15" t="str">
        <x:v>PROD008</x:v>
      </x:c>
      <x:c r="D848" s="15" t="n">
        <x:v>2</x:v>
      </x:c>
      <x:c r="E848" s="15" t="n">
        <x:v>8534.48</x:v>
      </x:c>
      <x:c r="F848" s="15" t="n">
        <x:v>0.05</x:v>
      </x:c>
      <x:c r="G848" s="15" t="n">
        <x:v>17068.96</x:v>
      </x:c>
      <x:c r="H848" s="15" t="n">
        <x:v>16215.51</x:v>
      </x:c>
      <x:c r="I848" s="15" t="n">
        <x:v>12394</x:v>
      </x:c>
      <x:c r="J848" s="15" t="n">
        <x:v>3821.51</x:v>
      </x:c>
      <x:c r="K848" t="str">
        <x:f>XLOOKUP(B848,Orders!A:A,Orders!E:E,"")</x:f>
        <x:v>West</x:v>
      </x:c>
      <x:c r="L848" t="n">
        <x:f>XLOOKUP(B848,Orders!A:A,Orders!B:B,"")</x:f>
        <x:v>46059</x:v>
      </x:c>
      <x:c r="M848" t="str">
        <x:f>XLOOKUP(C848,Products!A:A,Products!C:C,"")</x:f>
        <x:v>Office Supplies</x:v>
      </x:c>
    </x:row>
    <x:row r="849">
      <x:c r="A849" s="15" t="str">
        <x:v>ITEM00355_2</x:v>
      </x:c>
      <x:c r="B849" s="15" t="str">
        <x:v>ORD00355</x:v>
      </x:c>
      <x:c r="C849" s="15" t="str">
        <x:v>PROD031</x:v>
      </x:c>
      <x:c r="D849" s="15" t="n">
        <x:v>2</x:v>
      </x:c>
      <x:c r="E849" s="15" t="n">
        <x:v>3371.81</x:v>
      </x:c>
      <x:c r="F849" s="15" t="n">
        <x:v>0.15</x:v>
      </x:c>
      <x:c r="G849" s="15" t="n">
        <x:v>6743.62</x:v>
      </x:c>
      <x:c r="H849" s="15" t="n">
        <x:v>5732.08</x:v>
      </x:c>
      <x:c r="I849" s="15" t="n">
        <x:v>5594</x:v>
      </x:c>
      <x:c r="J849" s="15" t="n">
        <x:v>138.08</x:v>
      </x:c>
      <x:c r="K849" t="str">
        <x:f>XLOOKUP(B849,Orders!A:A,Orders!E:E,"")</x:f>
        <x:v>West</x:v>
      </x:c>
      <x:c r="L849" t="n">
        <x:f>XLOOKUP(B849,Orders!A:A,Orders!B:B,"")</x:f>
        <x:v>46059</x:v>
      </x:c>
      <x:c r="M849" t="str">
        <x:f>XLOOKUP(C849,Products!A:A,Products!C:C,"")</x:f>
        <x:v>Furniture</x:v>
      </x:c>
    </x:row>
    <x:row r="850">
      <x:c r="A850" s="15" t="str">
        <x:v>ITEM00355_3</x:v>
      </x:c>
      <x:c r="B850" s="15" t="str">
        <x:v>ORD00355</x:v>
      </x:c>
      <x:c r="C850" s="15" t="str">
        <x:v>PROD032</x:v>
      </x:c>
      <x:c r="D850" s="15" t="n">
        <x:v>5</x:v>
      </x:c>
      <x:c r="E850" s="15" t="n">
        <x:v>6307.06</x:v>
      </x:c>
      <x:c r="F850" s="15" t="n">
        <x:v>0.15</x:v>
      </x:c>
      <x:c r="G850" s="15" t="n">
        <x:v>31535.3</x:v>
      </x:c>
      <x:c r="H850" s="15" t="n">
        <x:v>26805</x:v>
      </x:c>
      <x:c r="I850" s="15" t="n">
        <x:v>25385</x:v>
      </x:c>
      <x:c r="J850" s="15" t="n">
        <x:v>1420</x:v>
      </x:c>
      <x:c r="K850" t="str">
        <x:f>XLOOKUP(B850,Orders!A:A,Orders!E:E,"")</x:f>
        <x:v>West</x:v>
      </x:c>
      <x:c r="L850" t="n">
        <x:f>XLOOKUP(B850,Orders!A:A,Orders!B:B,"")</x:f>
        <x:v>46059</x:v>
      </x:c>
      <x:c r="M850" t="str">
        <x:f>XLOOKUP(C850,Products!A:A,Products!C:C,"")</x:f>
        <x:v>Electronics</x:v>
      </x:c>
    </x:row>
    <x:row r="851">
      <x:c r="A851" s="15" t="str">
        <x:v>ITEM00356_1</x:v>
      </x:c>
      <x:c r="B851" s="15" t="str">
        <x:v>ORD00356</x:v>
      </x:c>
      <x:c r="C851" s="15" t="str">
        <x:v>PROD030</x:v>
      </x:c>
      <x:c r="D851" s="15" t="n">
        <x:v>3</x:v>
      </x:c>
      <x:c r="E851" s="15" t="n">
        <x:v>5180.7</x:v>
      </x:c>
      <x:c r="F851" s="15" t="n">
        <x:v>0</x:v>
      </x:c>
      <x:c r="G851" s="15" t="n">
        <x:v>15542.1</x:v>
      </x:c>
      <x:c r="H851" s="15" t="n">
        <x:v>15542.1</x:v>
      </x:c>
      <x:c r="I851" s="15" t="n">
        <x:v>11664</x:v>
      </x:c>
      <x:c r="J851" s="15" t="n">
        <x:v>3878.1</x:v>
      </x:c>
      <x:c r="K851" t="str">
        <x:f>XLOOKUP(B851,Orders!A:A,Orders!E:E,"")</x:f>
        <x:v>South</x:v>
      </x:c>
      <x:c r="L851" t="n">
        <x:f>XLOOKUP(B851,Orders!A:A,Orders!B:B,"")</x:f>
        <x:v>45832</x:v>
      </x:c>
      <x:c r="M851" t="str">
        <x:f>XLOOKUP(C851,Products!A:A,Products!C:C,"")</x:f>
        <x:v>Office Supplies</x:v>
      </x:c>
    </x:row>
    <x:row r="852">
      <x:c r="A852" s="15" t="str">
        <x:v>ITEM00357_1</x:v>
      </x:c>
      <x:c r="B852" s="15" t="str">
        <x:v>ORD00357</x:v>
      </x:c>
      <x:c r="C852" s="15" t="str">
        <x:v>PROD010</x:v>
      </x:c>
      <x:c r="D852" s="15" t="n">
        <x:v>5</x:v>
      </x:c>
      <x:c r="E852" s="15" t="n">
        <x:v>8670.63</x:v>
      </x:c>
      <x:c r="F852" s="15" t="n">
        <x:v>0</x:v>
      </x:c>
      <x:c r="G852" s="15" t="n">
        <x:v>43353.15</x:v>
      </x:c>
      <x:c r="H852" s="15" t="n">
        <x:v>43353.15</x:v>
      </x:c>
      <x:c r="I852" s="15" t="n">
        <x:v>29265</x:v>
      </x:c>
      <x:c r="J852" s="15" t="n">
        <x:v>14088.15</x:v>
      </x:c>
      <x:c r="K852" t="str">
        <x:f>XLOOKUP(B852,Orders!A:A,Orders!E:E,"")</x:f>
        <x:v>South</x:v>
      </x:c>
      <x:c r="L852" t="n">
        <x:f>XLOOKUP(B852,Orders!A:A,Orders!B:B,"")</x:f>
        <x:v>46151</x:v>
      </x:c>
      <x:c r="M852" t="str">
        <x:f>XLOOKUP(C852,Products!A:A,Products!C:C,"")</x:f>
        <x:v>Accessories</x:v>
      </x:c>
    </x:row>
    <x:row r="853">
      <x:c r="A853" s="15" t="str">
        <x:v>ITEM00358_1</x:v>
      </x:c>
      <x:c r="B853" s="15" t="str">
        <x:v>ORD00358</x:v>
      </x:c>
      <x:c r="C853" s="15" t="str">
        <x:v>PROD010</x:v>
      </x:c>
      <x:c r="D853" s="15" t="n">
        <x:v>5</x:v>
      </x:c>
      <x:c r="E853" s="15" t="n">
        <x:v>8670.63</x:v>
      </x:c>
      <x:c r="F853" s="15" t="n">
        <x:v>0.05</x:v>
      </x:c>
      <x:c r="G853" s="15" t="n">
        <x:v>43353.15</x:v>
      </x:c>
      <x:c r="H853" s="15" t="n">
        <x:v>41185.49</x:v>
      </x:c>
      <x:c r="I853" s="15" t="n">
        <x:v>29265</x:v>
      </x:c>
      <x:c r="J853" s="15" t="n">
        <x:v>11920.49</x:v>
      </x:c>
      <x:c r="K853" t="str">
        <x:f>XLOOKUP(B853,Orders!A:A,Orders!E:E,"")</x:f>
        <x:v>East</x:v>
      </x:c>
      <x:c r="L853" t="n">
        <x:f>XLOOKUP(B853,Orders!A:A,Orders!B:B,"")</x:f>
        <x:v>45662</x:v>
      </x:c>
      <x:c r="M853" t="str">
        <x:f>XLOOKUP(C853,Products!A:A,Products!C:C,"")</x:f>
        <x:v>Accessories</x:v>
      </x:c>
    </x:row>
    <x:row r="854">
      <x:c r="A854" s="15" t="str">
        <x:v>ITEM00358_2</x:v>
      </x:c>
      <x:c r="B854" s="15" t="str">
        <x:v>ORD00358</x:v>
      </x:c>
      <x:c r="C854" s="15" t="str">
        <x:v>PROD037</x:v>
      </x:c>
      <x:c r="D854" s="15" t="n">
        <x:v>3</x:v>
      </x:c>
      <x:c r="E854" s="15" t="n">
        <x:v>9876.8</x:v>
      </x:c>
      <x:c r="F854" s="15" t="n">
        <x:v>0</x:v>
      </x:c>
      <x:c r="G854" s="15" t="n">
        <x:v>29630.4</x:v>
      </x:c>
      <x:c r="H854" s="15" t="n">
        <x:v>29630.4</x:v>
      </x:c>
      <x:c r="I854" s="15" t="n">
        <x:v>21372</x:v>
      </x:c>
      <x:c r="J854" s="15" t="n">
        <x:v>8258.4</x:v>
      </x:c>
      <x:c r="K854" t="str">
        <x:f>XLOOKUP(B854,Orders!A:A,Orders!E:E,"")</x:f>
        <x:v>East</x:v>
      </x:c>
      <x:c r="L854" t="n">
        <x:f>XLOOKUP(B854,Orders!A:A,Orders!B:B,"")</x:f>
        <x:v>45662</x:v>
      </x:c>
      <x:c r="M854" t="str">
        <x:f>XLOOKUP(C854,Products!A:A,Products!C:C,"")</x:f>
        <x:v>Accessories</x:v>
      </x:c>
    </x:row>
    <x:row r="855">
      <x:c r="A855" s="15" t="str">
        <x:v>ITEM00358_3</x:v>
      </x:c>
      <x:c r="B855" s="15" t="str">
        <x:v>ORD00358</x:v>
      </x:c>
      <x:c r="C855" s="15" t="str">
        <x:v>PROD023</x:v>
      </x:c>
      <x:c r="D855" s="15" t="n">
        <x:v>1</x:v>
      </x:c>
      <x:c r="E855" s="15" t="n">
        <x:v>5153.56</x:v>
      </x:c>
      <x:c r="F855" s="15" t="n">
        <x:v>0.1</x:v>
      </x:c>
      <x:c r="G855" s="15" t="n">
        <x:v>5153.56</x:v>
      </x:c>
      <x:c r="H855" s="15" t="n">
        <x:v>4638.2</x:v>
      </x:c>
      <x:c r="I855" s="15" t="n">
        <x:v>3958</x:v>
      </x:c>
      <x:c r="J855" s="15" t="n">
        <x:v>680.2</x:v>
      </x:c>
      <x:c r="K855" t="str">
        <x:f>XLOOKUP(B855,Orders!A:A,Orders!E:E,"")</x:f>
        <x:v>East</x:v>
      </x:c>
      <x:c r="L855" t="n">
        <x:f>XLOOKUP(B855,Orders!A:A,Orders!B:B,"")</x:f>
        <x:v>45662</x:v>
      </x:c>
      <x:c r="M855" t="str">
        <x:f>XLOOKUP(C855,Products!A:A,Products!C:C,"")</x:f>
        <x:v>Electronics</x:v>
      </x:c>
    </x:row>
    <x:row r="856">
      <x:c r="A856" s="15" t="str">
        <x:v>ITEM00359_1</x:v>
      </x:c>
      <x:c r="B856" s="15" t="str">
        <x:v>ORD00359</x:v>
      </x:c>
      <x:c r="C856" s="15" t="str">
        <x:v>PROD009</x:v>
      </x:c>
      <x:c r="D856" s="15" t="n">
        <x:v>1</x:v>
      </x:c>
      <x:c r="E856" s="15" t="n">
        <x:v>4722.96</x:v>
      </x:c>
      <x:c r="F856" s="15" t="n">
        <x:v>0.1</x:v>
      </x:c>
      <x:c r="G856" s="15" t="n">
        <x:v>4722.96</x:v>
      </x:c>
      <x:c r="H856" s="15" t="n">
        <x:v>4250.66</x:v>
      </x:c>
      <x:c r="I856" s="15" t="n">
        <x:v>3213</x:v>
      </x:c>
      <x:c r="J856" s="15" t="n">
        <x:v>1037.66</x:v>
      </x:c>
      <x:c r="K856" t="str">
        <x:f>XLOOKUP(B856,Orders!A:A,Orders!E:E,"")</x:f>
        <x:v>East</x:v>
      </x:c>
      <x:c r="L856" t="n">
        <x:f>XLOOKUP(B856,Orders!A:A,Orders!B:B,"")</x:f>
        <x:v>46077</x:v>
      </x:c>
      <x:c r="M856" t="str">
        <x:f>XLOOKUP(C856,Products!A:A,Products!C:C,"")</x:f>
        <x:v>Accessories</x:v>
      </x:c>
    </x:row>
    <x:row r="857">
      <x:c r="A857" s="15" t="str">
        <x:v>ITEM00359_2</x:v>
      </x:c>
      <x:c r="B857" s="15" t="str">
        <x:v>ORD00359</x:v>
      </x:c>
      <x:c r="C857" s="15" t="str">
        <x:v>PROD014</x:v>
      </x:c>
      <x:c r="D857" s="15" t="n">
        <x:v>3</x:v>
      </x:c>
      <x:c r="E857" s="15" t="n">
        <x:v>1611.65</x:v>
      </x:c>
      <x:c r="F857" s="15" t="n">
        <x:v>0</x:v>
      </x:c>
      <x:c r="G857" s="15" t="n">
        <x:v>4834.95</x:v>
      </x:c>
      <x:c r="H857" s="15" t="n">
        <x:v>4834.95</x:v>
      </x:c>
      <x:c r="I857" s="15" t="n">
        <x:v>3699</x:v>
      </x:c>
      <x:c r="J857" s="15" t="n">
        <x:v>1135.95</x:v>
      </x:c>
      <x:c r="K857" t="str">
        <x:f>XLOOKUP(B857,Orders!A:A,Orders!E:E,"")</x:f>
        <x:v>East</x:v>
      </x:c>
      <x:c r="L857" t="n">
        <x:f>XLOOKUP(B857,Orders!A:A,Orders!B:B,"")</x:f>
        <x:v>46077</x:v>
      </x:c>
      <x:c r="M857" t="str">
        <x:f>XLOOKUP(C857,Products!A:A,Products!C:C,"")</x:f>
        <x:v>Office Supplies</x:v>
      </x:c>
    </x:row>
    <x:row r="858">
      <x:c r="A858" s="15" t="str">
        <x:v>ITEM00359_3</x:v>
      </x:c>
      <x:c r="B858" s="15" t="str">
        <x:v>ORD00359</x:v>
      </x:c>
      <x:c r="C858" s="15" t="str">
        <x:v>PROD008</x:v>
      </x:c>
      <x:c r="D858" s="15" t="n">
        <x:v>3</x:v>
      </x:c>
      <x:c r="E858" s="15" t="n">
        <x:v>8534.48</x:v>
      </x:c>
      <x:c r="F858" s="15" t="n">
        <x:v>0.15</x:v>
      </x:c>
      <x:c r="G858" s="15" t="n">
        <x:v>25603.44</x:v>
      </x:c>
      <x:c r="H858" s="15" t="n">
        <x:v>21762.92</x:v>
      </x:c>
      <x:c r="I858" s="15" t="n">
        <x:v>18591</x:v>
      </x:c>
      <x:c r="J858" s="15" t="n">
        <x:v>3171.92</x:v>
      </x:c>
      <x:c r="K858" t="str">
        <x:f>XLOOKUP(B858,Orders!A:A,Orders!E:E,"")</x:f>
        <x:v>East</x:v>
      </x:c>
      <x:c r="L858" t="n">
        <x:f>XLOOKUP(B858,Orders!A:A,Orders!B:B,"")</x:f>
        <x:v>46077</x:v>
      </x:c>
      <x:c r="M858" t="str">
        <x:f>XLOOKUP(C858,Products!A:A,Products!C:C,"")</x:f>
        <x:v>Office Supplies</x:v>
      </x:c>
    </x:row>
    <x:row r="859">
      <x:c r="A859" s="15" t="str">
        <x:v>ITEM00359_4</x:v>
      </x:c>
      <x:c r="B859" s="15" t="str">
        <x:v>ORD00359</x:v>
      </x:c>
      <x:c r="C859" s="15" t="str">
        <x:v>PROD031</x:v>
      </x:c>
      <x:c r="D859" s="15" t="n">
        <x:v>4</x:v>
      </x:c>
      <x:c r="E859" s="15" t="n">
        <x:v>3371.81</x:v>
      </x:c>
      <x:c r="F859" s="15" t="n">
        <x:v>0</x:v>
      </x:c>
      <x:c r="G859" s="15" t="n">
        <x:v>13487.24</x:v>
      </x:c>
      <x:c r="H859" s="15" t="n">
        <x:v>13487.24</x:v>
      </x:c>
      <x:c r="I859" s="15" t="n">
        <x:v>11188</x:v>
      </x:c>
      <x:c r="J859" s="15" t="n">
        <x:v>2299.24</x:v>
      </x:c>
      <x:c r="K859" t="str">
        <x:f>XLOOKUP(B859,Orders!A:A,Orders!E:E,"")</x:f>
        <x:v>East</x:v>
      </x:c>
      <x:c r="L859" t="n">
        <x:f>XLOOKUP(B859,Orders!A:A,Orders!B:B,"")</x:f>
        <x:v>46077</x:v>
      </x:c>
      <x:c r="M859" t="str">
        <x:f>XLOOKUP(C859,Products!A:A,Products!C:C,"")</x:f>
        <x:v>Furniture</x:v>
      </x:c>
    </x:row>
    <x:row r="860">
      <x:c r="A860" s="15" t="str">
        <x:v>ITEM00360_1</x:v>
      </x:c>
      <x:c r="B860" s="15" t="str">
        <x:v>ORD00360</x:v>
      </x:c>
      <x:c r="C860" s="15" t="str">
        <x:v>PROD003</x:v>
      </x:c>
      <x:c r="D860" s="15" t="n">
        <x:v>4</x:v>
      </x:c>
      <x:c r="E860" s="15" t="n">
        <x:v>10757.89</x:v>
      </x:c>
      <x:c r="F860" s="15" t="n">
        <x:v>0.1</x:v>
      </x:c>
      <x:c r="G860" s="15" t="n">
        <x:v>43031.56</x:v>
      </x:c>
      <x:c r="H860" s="15" t="n">
        <x:v>38728.4</x:v>
      </x:c>
      <x:c r="I860" s="15" t="n">
        <x:v>29684</x:v>
      </x:c>
      <x:c r="J860" s="15" t="n">
        <x:v>9044.4</x:v>
      </x:c>
      <x:c r="K860" t="str">
        <x:f>XLOOKUP(B860,Orders!A:A,Orders!E:E,"")</x:f>
        <x:v>North</x:v>
      </x:c>
      <x:c r="L860" t="n">
        <x:f>XLOOKUP(B860,Orders!A:A,Orders!B:B,"")</x:f>
        <x:v>45769</x:v>
      </x:c>
      <x:c r="M860" t="str">
        <x:f>XLOOKUP(C860,Products!A:A,Products!C:C,"")</x:f>
        <x:v>Accessories</x:v>
      </x:c>
    </x:row>
    <x:row r="861">
      <x:c r="A861" s="15" t="str">
        <x:v>ITEM00360_2</x:v>
      </x:c>
      <x:c r="B861" s="15" t="str">
        <x:v>ORD00360</x:v>
      </x:c>
      <x:c r="C861" s="15" t="str">
        <x:v>PROD002</x:v>
      </x:c>
      <x:c r="D861" s="15" t="n">
        <x:v>4</x:v>
      </x:c>
      <x:c r="E861" s="15" t="n">
        <x:v>4655.92</x:v>
      </x:c>
      <x:c r="F861" s="15" t="n">
        <x:v>0.05</x:v>
      </x:c>
      <x:c r="G861" s="15" t="n">
        <x:v>18623.68</x:v>
      </x:c>
      <x:c r="H861" s="15" t="n">
        <x:v>17692.5</x:v>
      </x:c>
      <x:c r="I861" s="15" t="n">
        <x:v>12532</x:v>
      </x:c>
      <x:c r="J861" s="15" t="n">
        <x:v>5160.5</x:v>
      </x:c>
      <x:c r="K861" t="str">
        <x:f>XLOOKUP(B861,Orders!A:A,Orders!E:E,"")</x:f>
        <x:v>North</x:v>
      </x:c>
      <x:c r="L861" t="n">
        <x:f>XLOOKUP(B861,Orders!A:A,Orders!B:B,"")</x:f>
        <x:v>45769</x:v>
      </x:c>
      <x:c r="M861" t="str">
        <x:f>XLOOKUP(C861,Products!A:A,Products!C:C,"")</x:f>
        <x:v>Accessories</x:v>
      </x:c>
    </x:row>
    <x:row r="862">
      <x:c r="A862" s="15" t="str">
        <x:v>ITEM00360_3</x:v>
      </x:c>
      <x:c r="B862" s="15" t="str">
        <x:v>ORD00360</x:v>
      </x:c>
      <x:c r="C862" s="15" t="str">
        <x:v>PROD034</x:v>
      </x:c>
      <x:c r="D862" s="15" t="n">
        <x:v>7</x:v>
      </x:c>
      <x:c r="E862" s="15" t="n">
        <x:v>5451.76</x:v>
      </x:c>
      <x:c r="F862" s="15" t="n">
        <x:v>0</x:v>
      </x:c>
      <x:c r="G862" s="15" t="n">
        <x:v>38162.32</x:v>
      </x:c>
      <x:c r="H862" s="15" t="n">
        <x:v>38162.32</x:v>
      </x:c>
      <x:c r="I862" s="15" t="n">
        <x:v>26432</x:v>
      </x:c>
      <x:c r="J862" s="15" t="n">
        <x:v>11730.32</x:v>
      </x:c>
      <x:c r="K862" t="str">
        <x:f>XLOOKUP(B862,Orders!A:A,Orders!E:E,"")</x:f>
        <x:v>North</x:v>
      </x:c>
      <x:c r="L862" t="n">
        <x:f>XLOOKUP(B862,Orders!A:A,Orders!B:B,"")</x:f>
        <x:v>45769</x:v>
      </x:c>
      <x:c r="M862" t="str">
        <x:f>XLOOKUP(C862,Products!A:A,Products!C:C,"")</x:f>
        <x:v>Accessories</x:v>
      </x:c>
    </x:row>
    <x:row r="863">
      <x:c r="A863" s="15" t="str">
        <x:v>ITEM00360_4</x:v>
      </x:c>
      <x:c r="B863" s="15" t="str">
        <x:v>ORD00360</x:v>
      </x:c>
      <x:c r="C863" s="15" t="str">
        <x:v>PROD013</x:v>
      </x:c>
      <x:c r="D863" s="15" t="n">
        <x:v>6</x:v>
      </x:c>
      <x:c r="E863" s="15" t="n">
        <x:v>7614.02</x:v>
      </x:c>
      <x:c r="F863" s="15" t="n">
        <x:v>0</x:v>
      </x:c>
      <x:c r="G863" s="15" t="n">
        <x:v>45684.12</x:v>
      </x:c>
      <x:c r="H863" s="15" t="n">
        <x:v>45684.12</x:v>
      </x:c>
      <x:c r="I863" s="15" t="n">
        <x:v>36462</x:v>
      </x:c>
      <x:c r="J863" s="15" t="n">
        <x:v>9222.12</x:v>
      </x:c>
      <x:c r="K863" t="str">
        <x:f>XLOOKUP(B863,Orders!A:A,Orders!E:E,"")</x:f>
        <x:v>North</x:v>
      </x:c>
      <x:c r="L863" t="n">
        <x:f>XLOOKUP(B863,Orders!A:A,Orders!B:B,"")</x:f>
        <x:v>45769</x:v>
      </x:c>
      <x:c r="M863" t="str">
        <x:f>XLOOKUP(C863,Products!A:A,Products!C:C,"")</x:f>
        <x:v>Furniture</x:v>
      </x:c>
    </x:row>
    <x:row r="864">
      <x:c r="A864" s="15" t="str">
        <x:v>ITEM00361_1</x:v>
      </x:c>
      <x:c r="B864" s="15" t="str">
        <x:v>ORD00361</x:v>
      </x:c>
      <x:c r="C864" s="15" t="str">
        <x:v>PROD014</x:v>
      </x:c>
      <x:c r="D864" s="15" t="n">
        <x:v>8</x:v>
      </x:c>
      <x:c r="E864" s="15" t="n">
        <x:v>1611.65</x:v>
      </x:c>
      <x:c r="F864" s="15" t="n">
        <x:v>0</x:v>
      </x:c>
      <x:c r="G864" s="15" t="n">
        <x:v>12893.2</x:v>
      </x:c>
      <x:c r="H864" s="15" t="n">
        <x:v>12893.2</x:v>
      </x:c>
      <x:c r="I864" s="15" t="n">
        <x:v>9864</x:v>
      </x:c>
      <x:c r="J864" s="15" t="n">
        <x:v>3029.2</x:v>
      </x:c>
      <x:c r="K864" t="str">
        <x:f>XLOOKUP(B864,Orders!A:A,Orders!E:E,"")</x:f>
        <x:v>West</x:v>
      </x:c>
      <x:c r="L864" t="n">
        <x:f>XLOOKUP(B864,Orders!A:A,Orders!B:B,"")</x:f>
        <x:v>46044</x:v>
      </x:c>
      <x:c r="M864" t="str">
        <x:f>XLOOKUP(C864,Products!A:A,Products!C:C,"")</x:f>
        <x:v>Office Supplies</x:v>
      </x:c>
    </x:row>
    <x:row r="865">
      <x:c r="A865" s="15" t="str">
        <x:v>ITEM00361_2</x:v>
      </x:c>
      <x:c r="B865" s="15" t="str">
        <x:v>ORD00361</x:v>
      </x:c>
      <x:c r="C865" s="15" t="str">
        <x:v>PROD005</x:v>
      </x:c>
      <x:c r="D865" s="15" t="n">
        <x:v>8</x:v>
      </x:c>
      <x:c r="E865" s="15" t="n">
        <x:v>6453.62</x:v>
      </x:c>
      <x:c r="F865" s="15" t="n">
        <x:v>0.15</x:v>
      </x:c>
      <x:c r="G865" s="15" t="n">
        <x:v>51628.96</x:v>
      </x:c>
      <x:c r="H865" s="15" t="n">
        <x:v>43884.62</x:v>
      </x:c>
      <x:c r="I865" s="15" t="n">
        <x:v>38784</x:v>
      </x:c>
      <x:c r="J865" s="15" t="n">
        <x:v>5100.62</x:v>
      </x:c>
      <x:c r="K865" t="str">
        <x:f>XLOOKUP(B865,Orders!A:A,Orders!E:E,"")</x:f>
        <x:v>West</x:v>
      </x:c>
      <x:c r="L865" t="n">
        <x:f>XLOOKUP(B865,Orders!A:A,Orders!B:B,"")</x:f>
        <x:v>46044</x:v>
      </x:c>
      <x:c r="M865" t="str">
        <x:f>XLOOKUP(C865,Products!A:A,Products!C:C,"")</x:f>
        <x:v>Office Supplies</x:v>
      </x:c>
    </x:row>
    <x:row r="866">
      <x:c r="A866" s="15" t="str">
        <x:v>ITEM00361_3</x:v>
      </x:c>
      <x:c r="B866" s="15" t="str">
        <x:v>ORD00361</x:v>
      </x:c>
      <x:c r="C866" s="15" t="str">
        <x:v>PROD021</x:v>
      </x:c>
      <x:c r="D866" s="15" t="n">
        <x:v>5</x:v>
      </x:c>
      <x:c r="E866" s="15" t="n">
        <x:v>6748.85</x:v>
      </x:c>
      <x:c r="F866" s="15" t="n">
        <x:v>0</x:v>
      </x:c>
      <x:c r="G866" s="15" t="n">
        <x:v>33744.25</x:v>
      </x:c>
      <x:c r="H866" s="15" t="n">
        <x:v>33744.25</x:v>
      </x:c>
      <x:c r="I866" s="15" t="n">
        <x:v>24995</x:v>
      </x:c>
      <x:c r="J866" s="15" t="n">
        <x:v>8749.25</x:v>
      </x:c>
      <x:c r="K866" t="str">
        <x:f>XLOOKUP(B866,Orders!A:A,Orders!E:E,"")</x:f>
        <x:v>West</x:v>
      </x:c>
      <x:c r="L866" t="n">
        <x:f>XLOOKUP(B866,Orders!A:A,Orders!B:B,"")</x:f>
        <x:v>46044</x:v>
      </x:c>
      <x:c r="M866" t="str">
        <x:f>XLOOKUP(C866,Products!A:A,Products!C:C,"")</x:f>
        <x:v>Electronics</x:v>
      </x:c>
    </x:row>
    <x:row r="867">
      <x:c r="A867" s="15" t="str">
        <x:v>ITEM00362_1</x:v>
      </x:c>
      <x:c r="B867" s="15" t="str">
        <x:v>ORD00362</x:v>
      </x:c>
      <x:c r="C867" s="15" t="str">
        <x:v>PROD013</x:v>
      </x:c>
      <x:c r="D867" s="15" t="n">
        <x:v>2</x:v>
      </x:c>
      <x:c r="E867" s="15" t="n">
        <x:v>7614.02</x:v>
      </x:c>
      <x:c r="F867" s="15" t="n">
        <x:v>0.05</x:v>
      </x:c>
      <x:c r="G867" s="15" t="n">
        <x:v>15228.04</x:v>
      </x:c>
      <x:c r="H867" s="15" t="n">
        <x:v>14466.64</x:v>
      </x:c>
      <x:c r="I867" s="15" t="n">
        <x:v>12154</x:v>
      </x:c>
      <x:c r="J867" s="15" t="n">
        <x:v>2312.64</x:v>
      </x:c>
      <x:c r="K867" t="str">
        <x:f>XLOOKUP(B867,Orders!A:A,Orders!E:E,"")</x:f>
        <x:v>North</x:v>
      </x:c>
      <x:c r="L867" t="n">
        <x:f>XLOOKUP(B867,Orders!A:A,Orders!B:B,"")</x:f>
        <x:v>45922</x:v>
      </x:c>
      <x:c r="M867" t="str">
        <x:f>XLOOKUP(C867,Products!A:A,Products!C:C,"")</x:f>
        <x:v>Furniture</x:v>
      </x:c>
    </x:row>
    <x:row r="868">
      <x:c r="A868" s="15" t="str">
        <x:v>ITEM00363_1</x:v>
      </x:c>
      <x:c r="B868" s="15" t="str">
        <x:v>ORD00363</x:v>
      </x:c>
      <x:c r="C868" s="15" t="str">
        <x:v>PROD026</x:v>
      </x:c>
      <x:c r="D868" s="15" t="n">
        <x:v>5</x:v>
      </x:c>
      <x:c r="E868" s="15" t="n">
        <x:v>3848.69</x:v>
      </x:c>
      <x:c r="F868" s="15" t="n">
        <x:v>0.1</x:v>
      </x:c>
      <x:c r="G868" s="15" t="n">
        <x:v>19243.45</x:v>
      </x:c>
      <x:c r="H868" s="15" t="n">
        <x:v>17319.1</x:v>
      </x:c>
      <x:c r="I868" s="15" t="n">
        <x:v>13170</x:v>
      </x:c>
      <x:c r="J868" s="15" t="n">
        <x:v>4149.1</x:v>
      </x:c>
      <x:c r="K868" t="str">
        <x:f>XLOOKUP(B868,Orders!A:A,Orders!E:E,"")</x:f>
        <x:v>West</x:v>
      </x:c>
      <x:c r="L868" t="n">
        <x:f>XLOOKUP(B868,Orders!A:A,Orders!B:B,"")</x:f>
        <x:v>45717</x:v>
      </x:c>
      <x:c r="M868" t="str">
        <x:f>XLOOKUP(C868,Products!A:A,Products!C:C,"")</x:f>
        <x:v>Accessories</x:v>
      </x:c>
    </x:row>
    <x:row r="869">
      <x:c r="A869" s="15" t="str">
        <x:v>ITEM00363_2</x:v>
      </x:c>
      <x:c r="B869" s="15" t="str">
        <x:v>ORD00363</x:v>
      </x:c>
      <x:c r="C869" s="15" t="str">
        <x:v>PROD037</x:v>
      </x:c>
      <x:c r="D869" s="15" t="n">
        <x:v>5</x:v>
      </x:c>
      <x:c r="E869" s="15" t="n">
        <x:v>9876.8</x:v>
      </x:c>
      <x:c r="F869" s="15" t="n">
        <x:v>0</x:v>
      </x:c>
      <x:c r="G869" s="15" t="n">
        <x:v>49384</x:v>
      </x:c>
      <x:c r="H869" s="15" t="n">
        <x:v>49384</x:v>
      </x:c>
      <x:c r="I869" s="15" t="n">
        <x:v>35620</x:v>
      </x:c>
      <x:c r="J869" s="15" t="n">
        <x:v>13764</x:v>
      </x:c>
      <x:c r="K869" t="str">
        <x:f>XLOOKUP(B869,Orders!A:A,Orders!E:E,"")</x:f>
        <x:v>West</x:v>
      </x:c>
      <x:c r="L869" t="n">
        <x:f>XLOOKUP(B869,Orders!A:A,Orders!B:B,"")</x:f>
        <x:v>45717</x:v>
      </x:c>
      <x:c r="M869" t="str">
        <x:f>XLOOKUP(C869,Products!A:A,Products!C:C,"")</x:f>
        <x:v>Accessories</x:v>
      </x:c>
    </x:row>
    <x:row r="870">
      <x:c r="A870" s="15" t="str">
        <x:v>ITEM00363_3</x:v>
      </x:c>
      <x:c r="B870" s="15" t="str">
        <x:v>ORD00363</x:v>
      </x:c>
      <x:c r="C870" s="15" t="str">
        <x:v>PROD014</x:v>
      </x:c>
      <x:c r="D870" s="15" t="n">
        <x:v>3</x:v>
      </x:c>
      <x:c r="E870" s="15" t="n">
        <x:v>1611.65</x:v>
      </x:c>
      <x:c r="F870" s="15" t="n">
        <x:v>0.1</x:v>
      </x:c>
      <x:c r="G870" s="15" t="n">
        <x:v>4834.95</x:v>
      </x:c>
      <x:c r="H870" s="15" t="n">
        <x:v>4351.45</x:v>
      </x:c>
      <x:c r="I870" s="15" t="n">
        <x:v>3699</x:v>
      </x:c>
      <x:c r="J870" s="15" t="n">
        <x:v>652.45</x:v>
      </x:c>
      <x:c r="K870" t="str">
        <x:f>XLOOKUP(B870,Orders!A:A,Orders!E:E,"")</x:f>
        <x:v>West</x:v>
      </x:c>
      <x:c r="L870" t="n">
        <x:f>XLOOKUP(B870,Orders!A:A,Orders!B:B,"")</x:f>
        <x:v>45717</x:v>
      </x:c>
      <x:c r="M870" t="str">
        <x:f>XLOOKUP(C870,Products!A:A,Products!C:C,"")</x:f>
        <x:v>Office Supplies</x:v>
      </x:c>
    </x:row>
    <x:row r="871">
      <x:c r="A871" s="15" t="str">
        <x:v>ITEM00363_4</x:v>
      </x:c>
      <x:c r="B871" s="15" t="str">
        <x:v>ORD00363</x:v>
      </x:c>
      <x:c r="C871" s="15" t="str">
        <x:v>PROD038</x:v>
      </x:c>
      <x:c r="D871" s="15" t="n">
        <x:v>1</x:v>
      </x:c>
      <x:c r="E871" s="15" t="n">
        <x:v>5219.7</x:v>
      </x:c>
      <x:c r="F871" s="15" t="n">
        <x:v>0</x:v>
      </x:c>
      <x:c r="G871" s="15" t="n">
        <x:v>5219.7</x:v>
      </x:c>
      <x:c r="H871" s="15" t="n">
        <x:v>5219.7</x:v>
      </x:c>
      <x:c r="I871" s="15" t="n">
        <x:v>3936</x:v>
      </x:c>
      <x:c r="J871" s="15" t="n">
        <x:v>1283.7</x:v>
      </x:c>
      <x:c r="K871" t="str">
        <x:f>XLOOKUP(B871,Orders!A:A,Orders!E:E,"")</x:f>
        <x:v>West</x:v>
      </x:c>
      <x:c r="L871" t="n">
        <x:f>XLOOKUP(B871,Orders!A:A,Orders!B:B,"")</x:f>
        <x:v>45717</x:v>
      </x:c>
      <x:c r="M871" t="str">
        <x:f>XLOOKUP(C871,Products!A:A,Products!C:C,"")</x:f>
        <x:v>Office Supplies</x:v>
      </x:c>
    </x:row>
    <x:row r="872">
      <x:c r="A872" s="15" t="str">
        <x:v>ITEM00364_1</x:v>
      </x:c>
      <x:c r="B872" s="15" t="str">
        <x:v>ORD00364</x:v>
      </x:c>
      <x:c r="C872" s="15" t="str">
        <x:v>PROD032</x:v>
      </x:c>
      <x:c r="D872" s="15" t="n">
        <x:v>3</x:v>
      </x:c>
      <x:c r="E872" s="15" t="n">
        <x:v>6307.06</x:v>
      </x:c>
      <x:c r="F872" s="15" t="n">
        <x:v>0.05</x:v>
      </x:c>
      <x:c r="G872" s="15" t="n">
        <x:v>18921.18</x:v>
      </x:c>
      <x:c r="H872" s="15" t="n">
        <x:v>17975.12</x:v>
      </x:c>
      <x:c r="I872" s="15" t="n">
        <x:v>15231</x:v>
      </x:c>
      <x:c r="J872" s="15" t="n">
        <x:v>2744.12</x:v>
      </x:c>
      <x:c r="K872" t="str">
        <x:f>XLOOKUP(B872,Orders!A:A,Orders!E:E,"")</x:f>
        <x:v>North</x:v>
      </x:c>
      <x:c r="L872" t="n">
        <x:f>XLOOKUP(B872,Orders!A:A,Orders!B:B,"")</x:f>
        <x:v>46040</x:v>
      </x:c>
      <x:c r="M872" t="str">
        <x:f>XLOOKUP(C872,Products!A:A,Products!C:C,"")</x:f>
        <x:v>Electronics</x:v>
      </x:c>
    </x:row>
    <x:row r="873">
      <x:c r="A873" s="15" t="str">
        <x:v>ITEM00364_2</x:v>
      </x:c>
      <x:c r="B873" s="15" t="str">
        <x:v>ORD00364</x:v>
      </x:c>
      <x:c r="C873" s="15" t="str">
        <x:v>PROD011</x:v>
      </x:c>
      <x:c r="D873" s="15" t="n">
        <x:v>6</x:v>
      </x:c>
      <x:c r="E873" s="15" t="n">
        <x:v>7135.27</x:v>
      </x:c>
      <x:c r="F873" s="15" t="n">
        <x:v>0</x:v>
      </x:c>
      <x:c r="G873" s="15" t="n">
        <x:v>42811.62</x:v>
      </x:c>
      <x:c r="H873" s="15" t="n">
        <x:v>42811.62</x:v>
      </x:c>
      <x:c r="I873" s="15" t="n">
        <x:v>31218</x:v>
      </x:c>
      <x:c r="J873" s="15" t="n">
        <x:v>11593.62</x:v>
      </x:c>
      <x:c r="K873" t="str">
        <x:f>XLOOKUP(B873,Orders!A:A,Orders!E:E,"")</x:f>
        <x:v>North</x:v>
      </x:c>
      <x:c r="L873" t="n">
        <x:f>XLOOKUP(B873,Orders!A:A,Orders!B:B,"")</x:f>
        <x:v>46040</x:v>
      </x:c>
      <x:c r="M873" t="str">
        <x:f>XLOOKUP(C873,Products!A:A,Products!C:C,"")</x:f>
        <x:v>Accessories</x:v>
      </x:c>
    </x:row>
    <x:row r="874">
      <x:c r="A874" s="15" t="str">
        <x:v>ITEM00364_3</x:v>
      </x:c>
      <x:c r="B874" s="15" t="str">
        <x:v>ORD00364</x:v>
      </x:c>
      <x:c r="C874" s="15" t="str">
        <x:v>PROD018</x:v>
      </x:c>
      <x:c r="D874" s="15" t="n">
        <x:v>1</x:v>
      </x:c>
      <x:c r="E874" s="15" t="n">
        <x:v>5637.8</x:v>
      </x:c>
      <x:c r="F874" s="15" t="n">
        <x:v>0.1</x:v>
      </x:c>
      <x:c r="G874" s="15" t="n">
        <x:v>5637.8</x:v>
      </x:c>
      <x:c r="H874" s="15" t="n">
        <x:v>5074.02</x:v>
      </x:c>
      <x:c r="I874" s="15" t="n">
        <x:v>4211</x:v>
      </x:c>
      <x:c r="J874" s="15" t="n">
        <x:v>863.02</x:v>
      </x:c>
      <x:c r="K874" t="str">
        <x:f>XLOOKUP(B874,Orders!A:A,Orders!E:E,"")</x:f>
        <x:v>North</x:v>
      </x:c>
      <x:c r="L874" t="n">
        <x:f>XLOOKUP(B874,Orders!A:A,Orders!B:B,"")</x:f>
        <x:v>46040</x:v>
      </x:c>
      <x:c r="M874" t="str">
        <x:f>XLOOKUP(C874,Products!A:A,Products!C:C,"")</x:f>
        <x:v>Electronics</x:v>
      </x:c>
    </x:row>
    <x:row r="875">
      <x:c r="A875" s="15" t="str">
        <x:v>ITEM00365_1</x:v>
      </x:c>
      <x:c r="B875" s="15" t="str">
        <x:v>ORD00365</x:v>
      </x:c>
      <x:c r="C875" s="15" t="str">
        <x:v>PROD015</x:v>
      </x:c>
      <x:c r="D875" s="15" t="n">
        <x:v>7</x:v>
      </x:c>
      <x:c r="E875" s="15" t="n">
        <x:v>5903.1</x:v>
      </x:c>
      <x:c r="F875" s="15" t="n">
        <x:v>0.05</x:v>
      </x:c>
      <x:c r="G875" s="15" t="n">
        <x:v>41321.7</x:v>
      </x:c>
      <x:c r="H875" s="15" t="n">
        <x:v>39255.61</x:v>
      </x:c>
      <x:c r="I875" s="15" t="n">
        <x:v>33495</x:v>
      </x:c>
      <x:c r="J875" s="15" t="n">
        <x:v>5760.61</x:v>
      </x:c>
      <x:c r="K875" t="str">
        <x:f>XLOOKUP(B875,Orders!A:A,Orders!E:E,"")</x:f>
        <x:v>North</x:v>
      </x:c>
      <x:c r="L875" t="n">
        <x:f>XLOOKUP(B875,Orders!A:A,Orders!B:B,"")</x:f>
        <x:v>45943</x:v>
      </x:c>
      <x:c r="M875" t="str">
        <x:f>XLOOKUP(C875,Products!A:A,Products!C:C,"")</x:f>
        <x:v>Electronics</x:v>
      </x:c>
    </x:row>
    <x:row r="876">
      <x:c r="A876" s="15" t="str">
        <x:v>ITEM00365_2</x:v>
      </x:c>
      <x:c r="B876" s="15" t="str">
        <x:v>ORD00365</x:v>
      </x:c>
      <x:c r="C876" s="15" t="str">
        <x:v>PROD001</x:v>
      </x:c>
      <x:c r="D876" s="15" t="n">
        <x:v>8</x:v>
      </x:c>
      <x:c r="E876" s="15" t="n">
        <x:v>8672.7</x:v>
      </x:c>
      <x:c r="F876" s="15" t="n">
        <x:v>0</x:v>
      </x:c>
      <x:c r="G876" s="15" t="n">
        <x:v>69381.6</x:v>
      </x:c>
      <x:c r="H876" s="15" t="n">
        <x:v>69381.6</x:v>
      </x:c>
      <x:c r="I876" s="15" t="n">
        <x:v>49304</x:v>
      </x:c>
      <x:c r="J876" s="15" t="n">
        <x:v>20077.6</x:v>
      </x:c>
      <x:c r="K876" t="str">
        <x:f>XLOOKUP(B876,Orders!A:A,Orders!E:E,"")</x:f>
        <x:v>North</x:v>
      </x:c>
      <x:c r="L876" t="n">
        <x:f>XLOOKUP(B876,Orders!A:A,Orders!B:B,"")</x:f>
        <x:v>45943</x:v>
      </x:c>
      <x:c r="M876" t="str">
        <x:f>XLOOKUP(C876,Products!A:A,Products!C:C,"")</x:f>
        <x:v>Office Supplies</x:v>
      </x:c>
    </x:row>
    <x:row r="877">
      <x:c r="A877" s="15" t="str">
        <x:v>ITEM00366_1</x:v>
      </x:c>
      <x:c r="B877" s="15" t="str">
        <x:v>ORD00366</x:v>
      </x:c>
      <x:c r="C877" s="15" t="str">
        <x:v>PROD001</x:v>
      </x:c>
      <x:c r="D877" s="15" t="n">
        <x:v>5</x:v>
      </x:c>
      <x:c r="E877" s="15" t="n">
        <x:v>8672.7</x:v>
      </x:c>
      <x:c r="F877" s="15" t="n">
        <x:v>0.1</x:v>
      </x:c>
      <x:c r="G877" s="15" t="n">
        <x:v>43363.5</x:v>
      </x:c>
      <x:c r="H877" s="15" t="n">
        <x:v>39027.15</x:v>
      </x:c>
      <x:c r="I877" s="15" t="n">
        <x:v>30815</x:v>
      </x:c>
      <x:c r="J877" s="15" t="n">
        <x:v>8212.15</x:v>
      </x:c>
      <x:c r="K877" t="str">
        <x:f>XLOOKUP(B877,Orders!A:A,Orders!E:E,"")</x:f>
        <x:v>East</x:v>
      </x:c>
      <x:c r="L877" t="n">
        <x:f>XLOOKUP(B877,Orders!A:A,Orders!B:B,"")</x:f>
        <x:v>45841</x:v>
      </x:c>
      <x:c r="M877" t="str">
        <x:f>XLOOKUP(C877,Products!A:A,Products!C:C,"")</x:f>
        <x:v>Office Supplies</x:v>
      </x:c>
    </x:row>
    <x:row r="878">
      <x:c r="A878" s="15" t="str">
        <x:v>ITEM00366_2</x:v>
      </x:c>
      <x:c r="B878" s="15" t="str">
        <x:v>ORD00366</x:v>
      </x:c>
      <x:c r="C878" s="15" t="str">
        <x:v>PROD015</x:v>
      </x:c>
      <x:c r="D878" s="15" t="n">
        <x:v>6</x:v>
      </x:c>
      <x:c r="E878" s="15" t="n">
        <x:v>5903.1</x:v>
      </x:c>
      <x:c r="F878" s="15" t="n">
        <x:v>0.1</x:v>
      </x:c>
      <x:c r="G878" s="15" t="n">
        <x:v>35418.6</x:v>
      </x:c>
      <x:c r="H878" s="15" t="n">
        <x:v>31876.74</x:v>
      </x:c>
      <x:c r="I878" s="15" t="n">
        <x:v>28710</x:v>
      </x:c>
      <x:c r="J878" s="15" t="n">
        <x:v>3166.74</x:v>
      </x:c>
      <x:c r="K878" t="str">
        <x:f>XLOOKUP(B878,Orders!A:A,Orders!E:E,"")</x:f>
        <x:v>East</x:v>
      </x:c>
      <x:c r="L878" t="n">
        <x:f>XLOOKUP(B878,Orders!A:A,Orders!B:B,"")</x:f>
        <x:v>45841</x:v>
      </x:c>
      <x:c r="M878" t="str">
        <x:f>XLOOKUP(C878,Products!A:A,Products!C:C,"")</x:f>
        <x:v>Electronics</x:v>
      </x:c>
    </x:row>
    <x:row r="879">
      <x:c r="A879" s="15" t="str">
        <x:v>ITEM00366_3</x:v>
      </x:c>
      <x:c r="B879" s="15" t="str">
        <x:v>ORD00366</x:v>
      </x:c>
      <x:c r="C879" s="15" t="str">
        <x:v>PROD024</x:v>
      </x:c>
      <x:c r="D879" s="15" t="n">
        <x:v>5</x:v>
      </x:c>
      <x:c r="E879" s="15" t="n">
        <x:v>4018</x:v>
      </x:c>
      <x:c r="F879" s="15" t="n">
        <x:v>0</x:v>
      </x:c>
      <x:c r="G879" s="15" t="n">
        <x:v>20090</x:v>
      </x:c>
      <x:c r="H879" s="15" t="n">
        <x:v>20090</x:v>
      </x:c>
      <x:c r="I879" s="15" t="n">
        <x:v>15960</x:v>
      </x:c>
      <x:c r="J879" s="15" t="n">
        <x:v>4130</x:v>
      </x:c>
      <x:c r="K879" t="str">
        <x:f>XLOOKUP(B879,Orders!A:A,Orders!E:E,"")</x:f>
        <x:v>East</x:v>
      </x:c>
      <x:c r="L879" t="n">
        <x:f>XLOOKUP(B879,Orders!A:A,Orders!B:B,"")</x:f>
        <x:v>45841</x:v>
      </x:c>
      <x:c r="M879" t="str">
        <x:f>XLOOKUP(C879,Products!A:A,Products!C:C,"")</x:f>
        <x:v>Furniture</x:v>
      </x:c>
    </x:row>
    <x:row r="880">
      <x:c r="A880" s="15" t="str">
        <x:v>ITEM00366_4</x:v>
      </x:c>
      <x:c r="B880" s="15" t="str">
        <x:v>ORD00366</x:v>
      </x:c>
      <x:c r="C880" s="15" t="str">
        <x:v>PROD008</x:v>
      </x:c>
      <x:c r="D880" s="15" t="n">
        <x:v>8</x:v>
      </x:c>
      <x:c r="E880" s="15" t="n">
        <x:v>8534.48</x:v>
      </x:c>
      <x:c r="F880" s="15" t="n">
        <x:v>0.05</x:v>
      </x:c>
      <x:c r="G880" s="15" t="n">
        <x:v>68275.84</x:v>
      </x:c>
      <x:c r="H880" s="15" t="n">
        <x:v>64862.05</x:v>
      </x:c>
      <x:c r="I880" s="15" t="n">
        <x:v>49576</x:v>
      </x:c>
      <x:c r="J880" s="15" t="n">
        <x:v>15286.05</x:v>
      </x:c>
      <x:c r="K880" t="str">
        <x:f>XLOOKUP(B880,Orders!A:A,Orders!E:E,"")</x:f>
        <x:v>East</x:v>
      </x:c>
      <x:c r="L880" t="n">
        <x:f>XLOOKUP(B880,Orders!A:A,Orders!B:B,"")</x:f>
        <x:v>45841</x:v>
      </x:c>
      <x:c r="M880" t="str">
        <x:f>XLOOKUP(C880,Products!A:A,Products!C:C,"")</x:f>
        <x:v>Office Supplies</x:v>
      </x:c>
    </x:row>
    <x:row r="881">
      <x:c r="A881" s="15" t="str">
        <x:v>ITEM00367_1</x:v>
      </x:c>
      <x:c r="B881" s="15" t="str">
        <x:v>ORD00367</x:v>
      </x:c>
      <x:c r="C881" s="15" t="str">
        <x:v>PROD029</x:v>
      </x:c>
      <x:c r="D881" s="15" t="n">
        <x:v>8</x:v>
      </x:c>
      <x:c r="E881" s="15" t="n">
        <x:v>8430.77</x:v>
      </x:c>
      <x:c r="F881" s="15" t="n">
        <x:v>0</x:v>
      </x:c>
      <x:c r="G881" s="15" t="n">
        <x:v>67446.16</x:v>
      </x:c>
      <x:c r="H881" s="15" t="n">
        <x:v>67446.16</x:v>
      </x:c>
      <x:c r="I881" s="15" t="n">
        <x:v>49480</x:v>
      </x:c>
      <x:c r="J881" s="15" t="n">
        <x:v>17966.16</x:v>
      </x:c>
      <x:c r="K881" t="str">
        <x:f>XLOOKUP(B881,Orders!A:A,Orders!E:E,"")</x:f>
        <x:v>West</x:v>
      </x:c>
      <x:c r="L881" t="n">
        <x:f>XLOOKUP(B881,Orders!A:A,Orders!B:B,"")</x:f>
        <x:v>45934</x:v>
      </x:c>
      <x:c r="M881" t="str">
        <x:f>XLOOKUP(C881,Products!A:A,Products!C:C,"")</x:f>
        <x:v>Office Supplies</x:v>
      </x:c>
    </x:row>
    <x:row r="882">
      <x:c r="A882" s="15" t="str">
        <x:v>ITEM00368_1</x:v>
      </x:c>
      <x:c r="B882" s="15" t="str">
        <x:v>ORD00368</x:v>
      </x:c>
      <x:c r="C882" s="15" t="str">
        <x:v>PROD020</x:v>
      </x:c>
      <x:c r="D882" s="15" t="n">
        <x:v>5</x:v>
      </x:c>
      <x:c r="E882" s="15" t="n">
        <x:v>6564.04</x:v>
      </x:c>
      <x:c r="F882" s="15" t="n">
        <x:v>0</x:v>
      </x:c>
      <x:c r="G882" s="15" t="n">
        <x:v>32820.2</x:v>
      </x:c>
      <x:c r="H882" s="15" t="n">
        <x:v>32820.2</x:v>
      </x:c>
      <x:c r="I882" s="15" t="n">
        <x:v>22925</x:v>
      </x:c>
      <x:c r="J882" s="15" t="n">
        <x:v>9895.2</x:v>
      </x:c>
      <x:c r="K882" t="str">
        <x:f>XLOOKUP(B882,Orders!A:A,Orders!E:E,"")</x:f>
        <x:v>West</x:v>
      </x:c>
      <x:c r="L882" t="n">
        <x:f>XLOOKUP(B882,Orders!A:A,Orders!B:B,"")</x:f>
        <x:v>45816</x:v>
      </x:c>
      <x:c r="M882" t="str">
        <x:f>XLOOKUP(C882,Products!A:A,Products!C:C,"")</x:f>
        <x:v>Accessories</x:v>
      </x:c>
    </x:row>
    <x:row r="883">
      <x:c r="A883" s="15" t="str">
        <x:v>ITEM00369_1</x:v>
      </x:c>
      <x:c r="B883" s="15" t="str">
        <x:v>ORD00369</x:v>
      </x:c>
      <x:c r="C883" s="15" t="str">
        <x:v>PROD003</x:v>
      </x:c>
      <x:c r="D883" s="15" t="n">
        <x:v>2</x:v>
      </x:c>
      <x:c r="E883" s="15" t="n">
        <x:v>10757.89</x:v>
      </x:c>
      <x:c r="F883" s="15" t="n">
        <x:v>0.05</x:v>
      </x:c>
      <x:c r="G883" s="15" t="n">
        <x:v>21515.78</x:v>
      </x:c>
      <x:c r="H883" s="15" t="n">
        <x:v>20439.99</x:v>
      </x:c>
      <x:c r="I883" s="15" t="n">
        <x:v>14842</x:v>
      </x:c>
      <x:c r="J883" s="15" t="n">
        <x:v>5597.99</x:v>
      </x:c>
      <x:c r="K883" t="str">
        <x:f>XLOOKUP(B883,Orders!A:A,Orders!E:E,"")</x:f>
        <x:v>South</x:v>
      </x:c>
      <x:c r="L883" t="n">
        <x:f>XLOOKUP(B883,Orders!A:A,Orders!B:B,"")</x:f>
        <x:v>45822</x:v>
      </x:c>
      <x:c r="M883" t="str">
        <x:f>XLOOKUP(C883,Products!A:A,Products!C:C,"")</x:f>
        <x:v>Accessories</x:v>
      </x:c>
    </x:row>
    <x:row r="884">
      <x:c r="A884" s="15" t="str">
        <x:v>ITEM00369_2</x:v>
      </x:c>
      <x:c r="B884" s="15" t="str">
        <x:v>ORD00369</x:v>
      </x:c>
      <x:c r="C884" s="15" t="str">
        <x:v>PROD004</x:v>
      </x:c>
      <x:c r="D884" s="15" t="n">
        <x:v>3</x:v>
      </x:c>
      <x:c r="E884" s="15" t="n">
        <x:v>5435.39</x:v>
      </x:c>
      <x:c r="F884" s="15" t="n">
        <x:v>0.05</x:v>
      </x:c>
      <x:c r="G884" s="15" t="n">
        <x:v>16306.17</x:v>
      </x:c>
      <x:c r="H884" s="15" t="n">
        <x:v>15490.86</x:v>
      </x:c>
      <x:c r="I884" s="15" t="n">
        <x:v>12423</x:v>
      </x:c>
      <x:c r="J884" s="15" t="n">
        <x:v>3067.86</x:v>
      </x:c>
      <x:c r="K884" t="str">
        <x:f>XLOOKUP(B884,Orders!A:A,Orders!E:E,"")</x:f>
        <x:v>South</x:v>
      </x:c>
      <x:c r="L884" t="n">
        <x:f>XLOOKUP(B884,Orders!A:A,Orders!B:B,"")</x:f>
        <x:v>45822</x:v>
      </x:c>
      <x:c r="M884" t="str">
        <x:f>XLOOKUP(C884,Products!A:A,Products!C:C,"")</x:f>
        <x:v>Office Supplies</x:v>
      </x:c>
    </x:row>
    <x:row r="885">
      <x:c r="A885" s="15" t="str">
        <x:v>ITEM00369_3</x:v>
      </x:c>
      <x:c r="B885" s="15" t="str">
        <x:v>ORD00369</x:v>
      </x:c>
      <x:c r="C885" s="15" t="str">
        <x:v>PROD018</x:v>
      </x:c>
      <x:c r="D885" s="15" t="n">
        <x:v>5</x:v>
      </x:c>
      <x:c r="E885" s="15" t="n">
        <x:v>5637.8</x:v>
      </x:c>
      <x:c r="F885" s="15" t="n">
        <x:v>0.1</x:v>
      </x:c>
      <x:c r="G885" s="15" t="n">
        <x:v>28189</x:v>
      </x:c>
      <x:c r="H885" s="15" t="n">
        <x:v>25370.1</x:v>
      </x:c>
      <x:c r="I885" s="15" t="n">
        <x:v>21055</x:v>
      </x:c>
      <x:c r="J885" s="15" t="n">
        <x:v>4315.1</x:v>
      </x:c>
      <x:c r="K885" t="str">
        <x:f>XLOOKUP(B885,Orders!A:A,Orders!E:E,"")</x:f>
        <x:v>South</x:v>
      </x:c>
      <x:c r="L885" t="n">
        <x:f>XLOOKUP(B885,Orders!A:A,Orders!B:B,"")</x:f>
        <x:v>45822</x:v>
      </x:c>
      <x:c r="M885" t="str">
        <x:f>XLOOKUP(C885,Products!A:A,Products!C:C,"")</x:f>
        <x:v>Electronics</x:v>
      </x:c>
    </x:row>
    <x:row r="886">
      <x:c r="A886" s="15" t="str">
        <x:v>ITEM00369_4</x:v>
      </x:c>
      <x:c r="B886" s="15" t="str">
        <x:v>ORD00369</x:v>
      </x:c>
      <x:c r="C886" s="15" t="str">
        <x:v>PROD026</x:v>
      </x:c>
      <x:c r="D886" s="15" t="n">
        <x:v>6</x:v>
      </x:c>
      <x:c r="E886" s="15" t="n">
        <x:v>3848.69</x:v>
      </x:c>
      <x:c r="F886" s="15" t="n">
        <x:v>0.05</x:v>
      </x:c>
      <x:c r="G886" s="15" t="n">
        <x:v>23092.14</x:v>
      </x:c>
      <x:c r="H886" s="15" t="n">
        <x:v>21937.53</x:v>
      </x:c>
      <x:c r="I886" s="15" t="n">
        <x:v>15804</x:v>
      </x:c>
      <x:c r="J886" s="15" t="n">
        <x:v>6133.53</x:v>
      </x:c>
      <x:c r="K886" t="str">
        <x:f>XLOOKUP(B886,Orders!A:A,Orders!E:E,"")</x:f>
        <x:v>South</x:v>
      </x:c>
      <x:c r="L886" t="n">
        <x:f>XLOOKUP(B886,Orders!A:A,Orders!B:B,"")</x:f>
        <x:v>45822</x:v>
      </x:c>
      <x:c r="M886" t="str">
        <x:f>XLOOKUP(C886,Products!A:A,Products!C:C,"")</x:f>
        <x:v>Accessories</x:v>
      </x:c>
    </x:row>
    <x:row r="887">
      <x:c r="A887" s="15" t="str">
        <x:v>ITEM00370_1</x:v>
      </x:c>
      <x:c r="B887" s="15" t="str">
        <x:v>ORD00370</x:v>
      </x:c>
      <x:c r="C887" s="15" t="str">
        <x:v>PROD012</x:v>
      </x:c>
      <x:c r="D887" s="15" t="n">
        <x:v>7</x:v>
      </x:c>
      <x:c r="E887" s="15" t="n">
        <x:v>7989.38</x:v>
      </x:c>
      <x:c r="F887" s="15" t="n">
        <x:v>0.05</x:v>
      </x:c>
      <x:c r="G887" s="15" t="n">
        <x:v>55925.66</x:v>
      </x:c>
      <x:c r="H887" s="15" t="n">
        <x:v>53129.38</x:v>
      </x:c>
      <x:c r="I887" s="15" t="n">
        <x:v>45395</x:v>
      </x:c>
      <x:c r="J887" s="15" t="n">
        <x:v>7734.38</x:v>
      </x:c>
      <x:c r="K887" t="str">
        <x:f>XLOOKUP(B887,Orders!A:A,Orders!E:E,"")</x:f>
        <x:v>West</x:v>
      </x:c>
      <x:c r="L887" t="n">
        <x:f>XLOOKUP(B887,Orders!A:A,Orders!B:B,"")</x:f>
        <x:v>45877</x:v>
      </x:c>
      <x:c r="M887" t="str">
        <x:f>XLOOKUP(C887,Products!A:A,Products!C:C,"")</x:f>
        <x:v>Electronics</x:v>
      </x:c>
    </x:row>
    <x:row r="888">
      <x:c r="A888" s="15" t="str">
        <x:v>ITEM00370_2</x:v>
      </x:c>
      <x:c r="B888" s="15" t="str">
        <x:v>ORD00370</x:v>
      </x:c>
      <x:c r="C888" s="15" t="str">
        <x:v>PROD018</x:v>
      </x:c>
      <x:c r="D888" s="15" t="n">
        <x:v>6</x:v>
      </x:c>
      <x:c r="E888" s="15" t="n">
        <x:v>5637.8</x:v>
      </x:c>
      <x:c r="F888" s="15" t="n">
        <x:v>0</x:v>
      </x:c>
      <x:c r="G888" s="15" t="n">
        <x:v>33826.8</x:v>
      </x:c>
      <x:c r="H888" s="15" t="n">
        <x:v>33826.8</x:v>
      </x:c>
      <x:c r="I888" s="15" t="n">
        <x:v>25266</x:v>
      </x:c>
      <x:c r="J888" s="15" t="n">
        <x:v>8560.8</x:v>
      </x:c>
      <x:c r="K888" t="str">
        <x:f>XLOOKUP(B888,Orders!A:A,Orders!E:E,"")</x:f>
        <x:v>West</x:v>
      </x:c>
      <x:c r="L888" t="n">
        <x:f>XLOOKUP(B888,Orders!A:A,Orders!B:B,"")</x:f>
        <x:v>45877</x:v>
      </x:c>
      <x:c r="M888" t="str">
        <x:f>XLOOKUP(C888,Products!A:A,Products!C:C,"")</x:f>
        <x:v>Electronics</x:v>
      </x:c>
    </x:row>
    <x:row r="889">
      <x:c r="A889" s="15" t="str">
        <x:v>ITEM00371_1</x:v>
      </x:c>
      <x:c r="B889" s="15" t="str">
        <x:v>ORD00371</x:v>
      </x:c>
      <x:c r="C889" s="15" t="str">
        <x:v>PROD009</x:v>
      </x:c>
      <x:c r="D889" s="15" t="n">
        <x:v>5</x:v>
      </x:c>
      <x:c r="E889" s="15" t="n">
        <x:v>4722.96</x:v>
      </x:c>
      <x:c r="F889" s="15" t="n">
        <x:v>0.05</x:v>
      </x:c>
      <x:c r="G889" s="15" t="n">
        <x:v>23614.8</x:v>
      </x:c>
      <x:c r="H889" s="15" t="n">
        <x:v>22434.06</x:v>
      </x:c>
      <x:c r="I889" s="15" t="n">
        <x:v>16065</x:v>
      </x:c>
      <x:c r="J889" s="15" t="n">
        <x:v>6369.06</x:v>
      </x:c>
      <x:c r="K889" t="str">
        <x:f>XLOOKUP(B889,Orders!A:A,Orders!E:E,"")</x:f>
        <x:v>North</x:v>
      </x:c>
      <x:c r="L889" t="n">
        <x:f>XLOOKUP(B889,Orders!A:A,Orders!B:B,"")</x:f>
        <x:v>46190</x:v>
      </x:c>
      <x:c r="M889" t="str">
        <x:f>XLOOKUP(C889,Products!A:A,Products!C:C,"")</x:f>
        <x:v>Accessories</x:v>
      </x:c>
    </x:row>
    <x:row r="890">
      <x:c r="A890" s="15" t="str">
        <x:v>ITEM00371_2</x:v>
      </x:c>
      <x:c r="B890" s="15" t="str">
        <x:v>ORD00371</x:v>
      </x:c>
      <x:c r="C890" s="15" t="str">
        <x:v>PROD012</x:v>
      </x:c>
      <x:c r="D890" s="15" t="n">
        <x:v>1</x:v>
      </x:c>
      <x:c r="E890" s="15" t="n">
        <x:v>7989.38</x:v>
      </x:c>
      <x:c r="F890" s="15" t="n">
        <x:v>0.1</x:v>
      </x:c>
      <x:c r="G890" s="15" t="n">
        <x:v>7989.38</x:v>
      </x:c>
      <x:c r="H890" s="15" t="n">
        <x:v>7190.44</x:v>
      </x:c>
      <x:c r="I890" s="15" t="n">
        <x:v>6485</x:v>
      </x:c>
      <x:c r="J890" s="15" t="n">
        <x:v>705.44</x:v>
      </x:c>
      <x:c r="K890" t="str">
        <x:f>XLOOKUP(B890,Orders!A:A,Orders!E:E,"")</x:f>
        <x:v>North</x:v>
      </x:c>
      <x:c r="L890" t="n">
        <x:f>XLOOKUP(B890,Orders!A:A,Orders!B:B,"")</x:f>
        <x:v>46190</x:v>
      </x:c>
      <x:c r="M890" t="str">
        <x:f>XLOOKUP(C890,Products!A:A,Products!C:C,"")</x:f>
        <x:v>Electronics</x:v>
      </x:c>
    </x:row>
    <x:row r="891">
      <x:c r="A891" s="15" t="str">
        <x:v>ITEM00372_1</x:v>
      </x:c>
      <x:c r="B891" s="15" t="str">
        <x:v>ORD00372</x:v>
      </x:c>
      <x:c r="C891" s="15" t="str">
        <x:v>PROD033</x:v>
      </x:c>
      <x:c r="D891" s="15" t="n">
        <x:v>3</x:v>
      </x:c>
      <x:c r="E891" s="15" t="n">
        <x:v>3912.41</x:v>
      </x:c>
      <x:c r="F891" s="15" t="n">
        <x:v>0.1</x:v>
      </x:c>
      <x:c r="G891" s="15" t="n">
        <x:v>11737.23</x:v>
      </x:c>
      <x:c r="H891" s="15" t="n">
        <x:v>10563.51</x:v>
      </x:c>
      <x:c r="I891" s="15" t="n">
        <x:v>8973</x:v>
      </x:c>
      <x:c r="J891" s="15" t="n">
        <x:v>1590.51</x:v>
      </x:c>
      <x:c r="K891" t="str">
        <x:f>XLOOKUP(B891,Orders!A:A,Orders!E:E,"")</x:f>
        <x:v>North</x:v>
      </x:c>
      <x:c r="L891" t="n">
        <x:f>XLOOKUP(B891,Orders!A:A,Orders!B:B,"")</x:f>
        <x:v>45784</x:v>
      </x:c>
      <x:c r="M891" t="str">
        <x:f>XLOOKUP(C891,Products!A:A,Products!C:C,"")</x:f>
        <x:v>Furniture</x:v>
      </x:c>
    </x:row>
    <x:row r="892">
      <x:c r="A892" s="15" t="str">
        <x:v>ITEM00373_1</x:v>
      </x:c>
      <x:c r="B892" s="15" t="str">
        <x:v>ORD00373</x:v>
      </x:c>
      <x:c r="C892" s="15" t="str">
        <x:v>PROD007</x:v>
      </x:c>
      <x:c r="D892" s="15" t="n">
        <x:v>1</x:v>
      </x:c>
      <x:c r="E892" s="15" t="n">
        <x:v>5013.07</x:v>
      </x:c>
      <x:c r="F892" s="15" t="n">
        <x:v>0</x:v>
      </x:c>
      <x:c r="G892" s="15" t="n">
        <x:v>5013.07</x:v>
      </x:c>
      <x:c r="H892" s="15" t="n">
        <x:v>5013.07</x:v>
      </x:c>
      <x:c r="I892" s="15" t="n">
        <x:v>3941</x:v>
      </x:c>
      <x:c r="J892" s="15" t="n">
        <x:v>1072.07</x:v>
      </x:c>
      <x:c r="K892" t="str">
        <x:f>XLOOKUP(B892,Orders!A:A,Orders!E:E,"")</x:f>
        <x:v>East</x:v>
      </x:c>
      <x:c r="L892" t="n">
        <x:f>XLOOKUP(B892,Orders!A:A,Orders!B:B,"")</x:f>
        <x:v>45918</x:v>
      </x:c>
      <x:c r="M892" t="str">
        <x:f>XLOOKUP(C892,Products!A:A,Products!C:C,"")</x:f>
        <x:v>Electronics</x:v>
      </x:c>
    </x:row>
    <x:row r="893">
      <x:c r="A893" s="15" t="str">
        <x:v>ITEM00373_2</x:v>
      </x:c>
      <x:c r="B893" s="15" t="str">
        <x:v>ORD00373</x:v>
      </x:c>
      <x:c r="C893" s="15" t="str">
        <x:v>PROD024</x:v>
      </x:c>
      <x:c r="D893" s="15" t="n">
        <x:v>3</x:v>
      </x:c>
      <x:c r="E893" s="15" t="n">
        <x:v>4018</x:v>
      </x:c>
      <x:c r="F893" s="15" t="n">
        <x:v>0.1</x:v>
      </x:c>
      <x:c r="G893" s="15" t="n">
        <x:v>12054</x:v>
      </x:c>
      <x:c r="H893" s="15" t="n">
        <x:v>10848.6</x:v>
      </x:c>
      <x:c r="I893" s="15" t="n">
        <x:v>9576</x:v>
      </x:c>
      <x:c r="J893" s="15" t="n">
        <x:v>1272.6</x:v>
      </x:c>
      <x:c r="K893" t="str">
        <x:f>XLOOKUP(B893,Orders!A:A,Orders!E:E,"")</x:f>
        <x:v>East</x:v>
      </x:c>
      <x:c r="L893" t="n">
        <x:f>XLOOKUP(B893,Orders!A:A,Orders!B:B,"")</x:f>
        <x:v>45918</x:v>
      </x:c>
      <x:c r="M893" t="str">
        <x:f>XLOOKUP(C893,Products!A:A,Products!C:C,"")</x:f>
        <x:v>Furniture</x:v>
      </x:c>
    </x:row>
    <x:row r="894">
      <x:c r="A894" s="15" t="str">
        <x:v>ITEM00374_1</x:v>
      </x:c>
      <x:c r="B894" s="15" t="str">
        <x:v>ORD00374</x:v>
      </x:c>
      <x:c r="C894" s="15" t="str">
        <x:v>PROD028</x:v>
      </x:c>
      <x:c r="D894" s="15" t="n">
        <x:v>2</x:v>
      </x:c>
      <x:c r="E894" s="15" t="n">
        <x:v>4640.74</x:v>
      </x:c>
      <x:c r="F894" s="15" t="n">
        <x:v>0.05</x:v>
      </x:c>
      <x:c r="G894" s="15" t="n">
        <x:v>9281.48</x:v>
      </x:c>
      <x:c r="H894" s="15" t="n">
        <x:v>8817.41</x:v>
      </x:c>
      <x:c r="I894" s="15" t="n">
        <x:v>7068</x:v>
      </x:c>
      <x:c r="J894" s="15" t="n">
        <x:v>1749.41</x:v>
      </x:c>
      <x:c r="K894" t="str">
        <x:f>XLOOKUP(B894,Orders!A:A,Orders!E:E,"")</x:f>
        <x:v>South</x:v>
      </x:c>
      <x:c r="L894" t="n">
        <x:f>XLOOKUP(B894,Orders!A:A,Orders!B:B,"")</x:f>
        <x:v>45818</x:v>
      </x:c>
      <x:c r="M894" t="str">
        <x:f>XLOOKUP(C894,Products!A:A,Products!C:C,"")</x:f>
        <x:v>Office Supplies</x:v>
      </x:c>
    </x:row>
    <x:row r="895">
      <x:c r="A895" s="15" t="str">
        <x:v>ITEM00374_2</x:v>
      </x:c>
      <x:c r="B895" s="15" t="str">
        <x:v>ORD00374</x:v>
      </x:c>
      <x:c r="C895" s="15" t="str">
        <x:v>PROD010</x:v>
      </x:c>
      <x:c r="D895" s="15" t="n">
        <x:v>1</x:v>
      </x:c>
      <x:c r="E895" s="15" t="n">
        <x:v>8670.63</x:v>
      </x:c>
      <x:c r="F895" s="15" t="n">
        <x:v>0</x:v>
      </x:c>
      <x:c r="G895" s="15" t="n">
        <x:v>8670.63</x:v>
      </x:c>
      <x:c r="H895" s="15" t="n">
        <x:v>8670.63</x:v>
      </x:c>
      <x:c r="I895" s="15" t="n">
        <x:v>5853</x:v>
      </x:c>
      <x:c r="J895" s="15" t="n">
        <x:v>2817.63</x:v>
      </x:c>
      <x:c r="K895" t="str">
        <x:f>XLOOKUP(B895,Orders!A:A,Orders!E:E,"")</x:f>
        <x:v>South</x:v>
      </x:c>
      <x:c r="L895" t="n">
        <x:f>XLOOKUP(B895,Orders!A:A,Orders!B:B,"")</x:f>
        <x:v>45818</x:v>
      </x:c>
      <x:c r="M895" t="str">
        <x:f>XLOOKUP(C895,Products!A:A,Products!C:C,"")</x:f>
        <x:v>Accessories</x:v>
      </x:c>
    </x:row>
    <x:row r="896">
      <x:c r="A896" s="15" t="str">
        <x:v>ITEM00374_3</x:v>
      </x:c>
      <x:c r="B896" s="15" t="str">
        <x:v>ORD00374</x:v>
      </x:c>
      <x:c r="C896" s="15" t="str">
        <x:v>PROD003</x:v>
      </x:c>
      <x:c r="D896" s="15" t="n">
        <x:v>5</x:v>
      </x:c>
      <x:c r="E896" s="15" t="n">
        <x:v>10757.89</x:v>
      </x:c>
      <x:c r="F896" s="15" t="n">
        <x:v>0.1</x:v>
      </x:c>
      <x:c r="G896" s="15" t="n">
        <x:v>53789.45</x:v>
      </x:c>
      <x:c r="H896" s="15" t="n">
        <x:v>48410.5</x:v>
      </x:c>
      <x:c r="I896" s="15" t="n">
        <x:v>37105</x:v>
      </x:c>
      <x:c r="J896" s="15" t="n">
        <x:v>11305.5</x:v>
      </x:c>
      <x:c r="K896" t="str">
        <x:f>XLOOKUP(B896,Orders!A:A,Orders!E:E,"")</x:f>
        <x:v>South</x:v>
      </x:c>
      <x:c r="L896" t="n">
        <x:f>XLOOKUP(B896,Orders!A:A,Orders!B:B,"")</x:f>
        <x:v>45818</x:v>
      </x:c>
      <x:c r="M896" t="str">
        <x:f>XLOOKUP(C896,Products!A:A,Products!C:C,"")</x:f>
        <x:v>Accessories</x:v>
      </x:c>
    </x:row>
    <x:row r="897">
      <x:c r="A897" s="15" t="str">
        <x:v>ITEM00375_1</x:v>
      </x:c>
      <x:c r="B897" s="15" t="str">
        <x:v>ORD00375</x:v>
      </x:c>
      <x:c r="C897" s="15" t="str">
        <x:v>PROD036</x:v>
      </x:c>
      <x:c r="D897" s="15" t="n">
        <x:v>7</x:v>
      </x:c>
      <x:c r="E897" s="15" t="n">
        <x:v>7158.64</x:v>
      </x:c>
      <x:c r="F897" s="15" t="n">
        <x:v>0</x:v>
      </x:c>
      <x:c r="G897" s="15" t="n">
        <x:v>50110.48</x:v>
      </x:c>
      <x:c r="H897" s="15" t="n">
        <x:v>50110.48</x:v>
      </x:c>
      <x:c r="I897" s="15" t="n">
        <x:v>36197</x:v>
      </x:c>
      <x:c r="J897" s="15" t="n">
        <x:v>13913.48</x:v>
      </x:c>
      <x:c r="K897" t="str">
        <x:f>XLOOKUP(B897,Orders!A:A,Orders!E:E,"")</x:f>
        <x:v>West</x:v>
      </x:c>
      <x:c r="L897" t="n">
        <x:f>XLOOKUP(B897,Orders!A:A,Orders!B:B,"")</x:f>
        <x:v>45884</x:v>
      </x:c>
      <x:c r="M897" t="str">
        <x:f>XLOOKUP(C897,Products!A:A,Products!C:C,"")</x:f>
        <x:v>Accessories</x:v>
      </x:c>
    </x:row>
    <x:row r="898">
      <x:c r="A898" s="15" t="str">
        <x:v>ITEM00375_2</x:v>
      </x:c>
      <x:c r="B898" s="15" t="str">
        <x:v>ORD00375</x:v>
      </x:c>
      <x:c r="C898" s="15" t="str">
        <x:v>PROD024</x:v>
      </x:c>
      <x:c r="D898" s="15" t="n">
        <x:v>5</x:v>
      </x:c>
      <x:c r="E898" s="15" t="n">
        <x:v>4018</x:v>
      </x:c>
      <x:c r="F898" s="15" t="n">
        <x:v>0</x:v>
      </x:c>
      <x:c r="G898" s="15" t="n">
        <x:v>20090</x:v>
      </x:c>
      <x:c r="H898" s="15" t="n">
        <x:v>20090</x:v>
      </x:c>
      <x:c r="I898" s="15" t="n">
        <x:v>15960</x:v>
      </x:c>
      <x:c r="J898" s="15" t="n">
        <x:v>4130</x:v>
      </x:c>
      <x:c r="K898" t="str">
        <x:f>XLOOKUP(B898,Orders!A:A,Orders!E:E,"")</x:f>
        <x:v>West</x:v>
      </x:c>
      <x:c r="L898" t="n">
        <x:f>XLOOKUP(B898,Orders!A:A,Orders!B:B,"")</x:f>
        <x:v>45884</x:v>
      </x:c>
      <x:c r="M898" t="str">
        <x:f>XLOOKUP(C898,Products!A:A,Products!C:C,"")</x:f>
        <x:v>Furniture</x:v>
      </x:c>
    </x:row>
    <x:row r="899">
      <x:c r="A899" s="15" t="str">
        <x:v>ITEM00375_3</x:v>
      </x:c>
      <x:c r="B899" s="15" t="str">
        <x:v>ORD00375</x:v>
      </x:c>
      <x:c r="C899" s="15" t="str">
        <x:v>PROD031</x:v>
      </x:c>
      <x:c r="D899" s="15" t="n">
        <x:v>7</x:v>
      </x:c>
      <x:c r="E899" s="15" t="n">
        <x:v>3371.81</x:v>
      </x:c>
      <x:c r="F899" s="15" t="n">
        <x:v>0.05</x:v>
      </x:c>
      <x:c r="G899" s="15" t="n">
        <x:v>23602.67</x:v>
      </x:c>
      <x:c r="H899" s="15" t="n">
        <x:v>22422.54</x:v>
      </x:c>
      <x:c r="I899" s="15" t="n">
        <x:v>19579</x:v>
      </x:c>
      <x:c r="J899" s="15" t="n">
        <x:v>2843.54</x:v>
      </x:c>
      <x:c r="K899" t="str">
        <x:f>XLOOKUP(B899,Orders!A:A,Orders!E:E,"")</x:f>
        <x:v>West</x:v>
      </x:c>
      <x:c r="L899" t="n">
        <x:f>XLOOKUP(B899,Orders!A:A,Orders!B:B,"")</x:f>
        <x:v>45884</x:v>
      </x:c>
      <x:c r="M899" t="str">
        <x:f>XLOOKUP(C899,Products!A:A,Products!C:C,"")</x:f>
        <x:v>Furniture</x:v>
      </x:c>
    </x:row>
    <x:row r="900">
      <x:c r="A900" s="15" t="str">
        <x:v>ITEM00375_4</x:v>
      </x:c>
      <x:c r="B900" s="15" t="str">
        <x:v>ORD00375</x:v>
      </x:c>
      <x:c r="C900" s="15" t="str">
        <x:v>PROD013</x:v>
      </x:c>
      <x:c r="D900" s="15" t="n">
        <x:v>5</x:v>
      </x:c>
      <x:c r="E900" s="15" t="n">
        <x:v>7614.02</x:v>
      </x:c>
      <x:c r="F900" s="15" t="n">
        <x:v>0</x:v>
      </x:c>
      <x:c r="G900" s="15" t="n">
        <x:v>38070.1</x:v>
      </x:c>
      <x:c r="H900" s="15" t="n">
        <x:v>38070.1</x:v>
      </x:c>
      <x:c r="I900" s="15" t="n">
        <x:v>30385</x:v>
      </x:c>
      <x:c r="J900" s="15" t="n">
        <x:v>7685.1</x:v>
      </x:c>
      <x:c r="K900" t="str">
        <x:f>XLOOKUP(B900,Orders!A:A,Orders!E:E,"")</x:f>
        <x:v>West</x:v>
      </x:c>
      <x:c r="L900" t="n">
        <x:f>XLOOKUP(B900,Orders!A:A,Orders!B:B,"")</x:f>
        <x:v>45884</x:v>
      </x:c>
      <x:c r="M900" t="str">
        <x:f>XLOOKUP(C900,Products!A:A,Products!C:C,"")</x:f>
        <x:v>Furniture</x:v>
      </x:c>
    </x:row>
    <x:row r="901">
      <x:c r="A901" s="15" t="str">
        <x:v>ITEM00376_1</x:v>
      </x:c>
      <x:c r="B901" s="15" t="str">
        <x:v>ORD00376</x:v>
      </x:c>
      <x:c r="C901" s="15" t="str">
        <x:v>PROD036</x:v>
      </x:c>
      <x:c r="D901" s="15" t="n">
        <x:v>6</x:v>
      </x:c>
      <x:c r="E901" s="15" t="n">
        <x:v>7158.64</x:v>
      </x:c>
      <x:c r="F901" s="15" t="n">
        <x:v>0</x:v>
      </x:c>
      <x:c r="G901" s="15" t="n">
        <x:v>42951.84</x:v>
      </x:c>
      <x:c r="H901" s="15" t="n">
        <x:v>42951.84</x:v>
      </x:c>
      <x:c r="I901" s="15" t="n">
        <x:v>31026</x:v>
      </x:c>
      <x:c r="J901" s="15" t="n">
        <x:v>11925.84</x:v>
      </x:c>
      <x:c r="K901" t="str">
        <x:f>XLOOKUP(B901,Orders!A:A,Orders!E:E,"")</x:f>
        <x:v>South</x:v>
      </x:c>
      <x:c r="L901" t="n">
        <x:f>XLOOKUP(B901,Orders!A:A,Orders!B:B,"")</x:f>
        <x:v>46029</x:v>
      </x:c>
      <x:c r="M901" t="str">
        <x:f>XLOOKUP(C901,Products!A:A,Products!C:C,"")</x:f>
        <x:v>Accessories</x:v>
      </x:c>
    </x:row>
    <x:row r="902">
      <x:c r="A902" s="15" t="str">
        <x:v>ITEM00376_2</x:v>
      </x:c>
      <x:c r="B902" s="15" t="str">
        <x:v>ORD00376</x:v>
      </x:c>
      <x:c r="C902" s="15" t="str">
        <x:v>PROD018</x:v>
      </x:c>
      <x:c r="D902" s="15" t="n">
        <x:v>1</x:v>
      </x:c>
      <x:c r="E902" s="15" t="n">
        <x:v>5637.8</x:v>
      </x:c>
      <x:c r="F902" s="15" t="n">
        <x:v>0.15</x:v>
      </x:c>
      <x:c r="G902" s="15" t="n">
        <x:v>5637.8</x:v>
      </x:c>
      <x:c r="H902" s="15" t="n">
        <x:v>4792.13</x:v>
      </x:c>
      <x:c r="I902" s="15" t="n">
        <x:v>4211</x:v>
      </x:c>
      <x:c r="J902" s="15" t="n">
        <x:v>581.13</x:v>
      </x:c>
      <x:c r="K902" t="str">
        <x:f>XLOOKUP(B902,Orders!A:A,Orders!E:E,"")</x:f>
        <x:v>South</x:v>
      </x:c>
      <x:c r="L902" t="n">
        <x:f>XLOOKUP(B902,Orders!A:A,Orders!B:B,"")</x:f>
        <x:v>46029</x:v>
      </x:c>
      <x:c r="M902" t="str">
        <x:f>XLOOKUP(C902,Products!A:A,Products!C:C,"")</x:f>
        <x:v>Electronics</x:v>
      </x:c>
    </x:row>
    <x:row r="903">
      <x:c r="A903" s="15" t="str">
        <x:v>ITEM00377_1</x:v>
      </x:c>
      <x:c r="B903" s="15" t="str">
        <x:v>ORD00377</x:v>
      </x:c>
      <x:c r="C903" s="15" t="str">
        <x:v>PROD032</x:v>
      </x:c>
      <x:c r="D903" s="15" t="n">
        <x:v>6</x:v>
      </x:c>
      <x:c r="E903" s="15" t="n">
        <x:v>6307.06</x:v>
      </x:c>
      <x:c r="F903" s="15" t="n">
        <x:v>0</x:v>
      </x:c>
      <x:c r="G903" s="15" t="n">
        <x:v>37842.36</x:v>
      </x:c>
      <x:c r="H903" s="15" t="n">
        <x:v>37842.36</x:v>
      </x:c>
      <x:c r="I903" s="15" t="n">
        <x:v>30462</x:v>
      </x:c>
      <x:c r="J903" s="15" t="n">
        <x:v>7380.36</x:v>
      </x:c>
      <x:c r="K903" t="str">
        <x:f>XLOOKUP(B903,Orders!A:A,Orders!E:E,"")</x:f>
        <x:v>North</x:v>
      </x:c>
      <x:c r="L903" t="n">
        <x:f>XLOOKUP(B903,Orders!A:A,Orders!B:B,"")</x:f>
        <x:v>45809</x:v>
      </x:c>
      <x:c r="M903" t="str">
        <x:f>XLOOKUP(C903,Products!A:A,Products!C:C,"")</x:f>
        <x:v>Electronics</x:v>
      </x:c>
    </x:row>
    <x:row r="904">
      <x:c r="A904" s="15" t="str">
        <x:v>ITEM00377_2</x:v>
      </x:c>
      <x:c r="B904" s="15" t="str">
        <x:v>ORD00377</x:v>
      </x:c>
      <x:c r="C904" s="15" t="str">
        <x:v>PROD038</x:v>
      </x:c>
      <x:c r="D904" s="15" t="n">
        <x:v>5</x:v>
      </x:c>
      <x:c r="E904" s="15" t="n">
        <x:v>5219.7</x:v>
      </x:c>
      <x:c r="F904" s="15" t="n">
        <x:v>0</x:v>
      </x:c>
      <x:c r="G904" s="15" t="n">
        <x:v>26098.5</x:v>
      </x:c>
      <x:c r="H904" s="15" t="n">
        <x:v>26098.5</x:v>
      </x:c>
      <x:c r="I904" s="15" t="n">
        <x:v>19680</x:v>
      </x:c>
      <x:c r="J904" s="15" t="n">
        <x:v>6418.5</x:v>
      </x:c>
      <x:c r="K904" t="str">
        <x:f>XLOOKUP(B904,Orders!A:A,Orders!E:E,"")</x:f>
        <x:v>North</x:v>
      </x:c>
      <x:c r="L904" t="n">
        <x:f>XLOOKUP(B904,Orders!A:A,Orders!B:B,"")</x:f>
        <x:v>45809</x:v>
      </x:c>
      <x:c r="M904" t="str">
        <x:f>XLOOKUP(C904,Products!A:A,Products!C:C,"")</x:f>
        <x:v>Office Supplies</x:v>
      </x:c>
    </x:row>
    <x:row r="905">
      <x:c r="A905" s="15" t="str">
        <x:v>ITEM00378_1</x:v>
      </x:c>
      <x:c r="B905" s="15" t="str">
        <x:v>ORD00378</x:v>
      </x:c>
      <x:c r="C905" s="15" t="str">
        <x:v>PROD028</x:v>
      </x:c>
      <x:c r="D905" s="15" t="n">
        <x:v>3</x:v>
      </x:c>
      <x:c r="E905" s="15" t="n">
        <x:v>4640.74</x:v>
      </x:c>
      <x:c r="F905" s="15" t="n">
        <x:v>0.05</x:v>
      </x:c>
      <x:c r="G905" s="15" t="n">
        <x:v>13922.22</x:v>
      </x:c>
      <x:c r="H905" s="15" t="n">
        <x:v>13226.11</x:v>
      </x:c>
      <x:c r="I905" s="15" t="n">
        <x:v>10602</x:v>
      </x:c>
      <x:c r="J905" s="15" t="n">
        <x:v>2624.11</x:v>
      </x:c>
      <x:c r="K905" t="str">
        <x:f>XLOOKUP(B905,Orders!A:A,Orders!E:E,"")</x:f>
        <x:v>West</x:v>
      </x:c>
      <x:c r="L905" t="n">
        <x:f>XLOOKUP(B905,Orders!A:A,Orders!B:B,"")</x:f>
        <x:v>45816</x:v>
      </x:c>
      <x:c r="M905" t="str">
        <x:f>XLOOKUP(C905,Products!A:A,Products!C:C,"")</x:f>
        <x:v>Office Supplies</x:v>
      </x:c>
    </x:row>
    <x:row r="906">
      <x:c r="A906" s="15" t="str">
        <x:v>ITEM00378_2</x:v>
      </x:c>
      <x:c r="B906" s="15" t="str">
        <x:v>ORD00378</x:v>
      </x:c>
      <x:c r="C906" s="15" t="str">
        <x:v>PROD026</x:v>
      </x:c>
      <x:c r="D906" s="15" t="n">
        <x:v>8</x:v>
      </x:c>
      <x:c r="E906" s="15" t="n">
        <x:v>3848.69</x:v>
      </x:c>
      <x:c r="F906" s="15" t="n">
        <x:v>0.1</x:v>
      </x:c>
      <x:c r="G906" s="15" t="n">
        <x:v>30789.52</x:v>
      </x:c>
      <x:c r="H906" s="15" t="n">
        <x:v>27710.57</x:v>
      </x:c>
      <x:c r="I906" s="15" t="n">
        <x:v>21072</x:v>
      </x:c>
      <x:c r="J906" s="15" t="n">
        <x:v>6638.57</x:v>
      </x:c>
      <x:c r="K906" t="str">
        <x:f>XLOOKUP(B906,Orders!A:A,Orders!E:E,"")</x:f>
        <x:v>West</x:v>
      </x:c>
      <x:c r="L906" t="n">
        <x:f>XLOOKUP(B906,Orders!A:A,Orders!B:B,"")</x:f>
        <x:v>45816</x:v>
      </x:c>
      <x:c r="M906" t="str">
        <x:f>XLOOKUP(C906,Products!A:A,Products!C:C,"")</x:f>
        <x:v>Accessories</x:v>
      </x:c>
    </x:row>
    <x:row r="907">
      <x:c r="A907" s="15" t="str">
        <x:v>ITEM00379_1</x:v>
      </x:c>
      <x:c r="B907" s="15" t="str">
        <x:v>ORD00379</x:v>
      </x:c>
      <x:c r="C907" s="15" t="str">
        <x:v>PROD010</x:v>
      </x:c>
      <x:c r="D907" s="15" t="n">
        <x:v>7</x:v>
      </x:c>
      <x:c r="E907" s="15" t="n">
        <x:v>8670.63</x:v>
      </x:c>
      <x:c r="F907" s="15" t="n">
        <x:v>0.05</x:v>
      </x:c>
      <x:c r="G907" s="15" t="n">
        <x:v>60694.41</x:v>
      </x:c>
      <x:c r="H907" s="15" t="n">
        <x:v>57659.69</x:v>
      </x:c>
      <x:c r="I907" s="15" t="n">
        <x:v>40971</x:v>
      </x:c>
      <x:c r="J907" s="15" t="n">
        <x:v>16688.69</x:v>
      </x:c>
      <x:c r="K907" t="str">
        <x:f>XLOOKUP(B907,Orders!A:A,Orders!E:E,"")</x:f>
        <x:v>North</x:v>
      </x:c>
      <x:c r="L907" t="n">
        <x:f>XLOOKUP(B907,Orders!A:A,Orders!B:B,"")</x:f>
        <x:v>45946</x:v>
      </x:c>
      <x:c r="M907" t="str">
        <x:f>XLOOKUP(C907,Products!A:A,Products!C:C,"")</x:f>
        <x:v>Accessories</x:v>
      </x:c>
    </x:row>
    <x:row r="908">
      <x:c r="A908" s="15" t="str">
        <x:v>ITEM00380_1</x:v>
      </x:c>
      <x:c r="B908" s="15" t="str">
        <x:v>ORD00380</x:v>
      </x:c>
      <x:c r="C908" s="15" t="str">
        <x:v>PROD037</x:v>
      </x:c>
      <x:c r="D908" s="15" t="n">
        <x:v>3</x:v>
      </x:c>
      <x:c r="E908" s="15" t="n">
        <x:v>9876.8</x:v>
      </x:c>
      <x:c r="F908" s="15" t="n">
        <x:v>0.1</x:v>
      </x:c>
      <x:c r="G908" s="15" t="n">
        <x:v>29630.4</x:v>
      </x:c>
      <x:c r="H908" s="15" t="n">
        <x:v>26667.36</x:v>
      </x:c>
      <x:c r="I908" s="15" t="n">
        <x:v>21372</x:v>
      </x:c>
      <x:c r="J908" s="15" t="n">
        <x:v>5295.36</x:v>
      </x:c>
      <x:c r="K908" t="str">
        <x:f>XLOOKUP(B908,Orders!A:A,Orders!E:E,"")</x:f>
        <x:v>East</x:v>
      </x:c>
      <x:c r="L908" t="n">
        <x:f>XLOOKUP(B908,Orders!A:A,Orders!B:B,"")</x:f>
        <x:v>46124</x:v>
      </x:c>
      <x:c r="M908" t="str">
        <x:f>XLOOKUP(C908,Products!A:A,Products!C:C,"")</x:f>
        <x:v>Accessories</x:v>
      </x:c>
    </x:row>
    <x:row r="909">
      <x:c r="A909" s="15" t="str">
        <x:v>ITEM00381_1</x:v>
      </x:c>
      <x:c r="B909" s="15" t="str">
        <x:v>ORD00381</x:v>
      </x:c>
      <x:c r="C909" s="15" t="str">
        <x:v>PROD027</x:v>
      </x:c>
      <x:c r="D909" s="15" t="n">
        <x:v>5</x:v>
      </x:c>
      <x:c r="E909" s="15" t="n">
        <x:v>6979.71</x:v>
      </x:c>
      <x:c r="F909" s="15" t="n">
        <x:v>0</x:v>
      </x:c>
      <x:c r="G909" s="15" t="n">
        <x:v>34898.55</x:v>
      </x:c>
      <x:c r="H909" s="15" t="n">
        <x:v>34898.55</x:v>
      </x:c>
      <x:c r="I909" s="15" t="n">
        <x:v>28185</x:v>
      </x:c>
      <x:c r="J909" s="15" t="n">
        <x:v>6713.55</x:v>
      </x:c>
      <x:c r="K909" t="str">
        <x:f>XLOOKUP(B909,Orders!A:A,Orders!E:E,"")</x:f>
        <x:v>South</x:v>
      </x:c>
      <x:c r="L909" t="n">
        <x:f>XLOOKUP(B909,Orders!A:A,Orders!B:B,"")</x:f>
        <x:v>45757</x:v>
      </x:c>
      <x:c r="M909" t="str">
        <x:f>XLOOKUP(C909,Products!A:A,Products!C:C,"")</x:f>
        <x:v>Electronics</x:v>
      </x:c>
    </x:row>
    <x:row r="910">
      <x:c r="A910" s="15" t="str">
        <x:v>ITEM00382_1</x:v>
      </x:c>
      <x:c r="B910" s="15" t="str">
        <x:v>ORD00382</x:v>
      </x:c>
      <x:c r="C910" s="15" t="str">
        <x:v>PROD040</x:v>
      </x:c>
      <x:c r="D910" s="15" t="n">
        <x:v>5</x:v>
      </x:c>
      <x:c r="E910" s="15" t="n">
        <x:v>8561.07</x:v>
      </x:c>
      <x:c r="F910" s="15" t="n">
        <x:v>0</x:v>
      </x:c>
      <x:c r="G910" s="15" t="n">
        <x:v>42805.35</x:v>
      </x:c>
      <x:c r="H910" s="15" t="n">
        <x:v>42805.35</x:v>
      </x:c>
      <x:c r="I910" s="15" t="n">
        <x:v>34205</x:v>
      </x:c>
      <x:c r="J910" s="15" t="n">
        <x:v>8600.35</x:v>
      </x:c>
      <x:c r="K910" t="str">
        <x:f>XLOOKUP(B910,Orders!A:A,Orders!E:E,"")</x:f>
        <x:v>West</x:v>
      </x:c>
      <x:c r="L910" t="n">
        <x:f>XLOOKUP(B910,Orders!A:A,Orders!B:B,"")</x:f>
        <x:v>46136</x:v>
      </x:c>
      <x:c r="M910" t="str">
        <x:f>XLOOKUP(C910,Products!A:A,Products!C:C,"")</x:f>
        <x:v>Electronics</x:v>
      </x:c>
    </x:row>
    <x:row r="911">
      <x:c r="A911" s="15" t="str">
        <x:v>ITEM00382_2</x:v>
      </x:c>
      <x:c r="B911" s="15" t="str">
        <x:v>ORD00382</x:v>
      </x:c>
      <x:c r="C911" s="15" t="str">
        <x:v>PROD007</x:v>
      </x:c>
      <x:c r="D911" s="15" t="n">
        <x:v>6</x:v>
      </x:c>
      <x:c r="E911" s="15" t="n">
        <x:v>5013.07</x:v>
      </x:c>
      <x:c r="F911" s="15" t="n">
        <x:v>0.1</x:v>
      </x:c>
      <x:c r="G911" s="15" t="n">
        <x:v>30078.42</x:v>
      </x:c>
      <x:c r="H911" s="15" t="n">
        <x:v>27070.58</x:v>
      </x:c>
      <x:c r="I911" s="15" t="n">
        <x:v>23646</x:v>
      </x:c>
      <x:c r="J911" s="15" t="n">
        <x:v>3424.58</x:v>
      </x:c>
      <x:c r="K911" t="str">
        <x:f>XLOOKUP(B911,Orders!A:A,Orders!E:E,"")</x:f>
        <x:v>West</x:v>
      </x:c>
      <x:c r="L911" t="n">
        <x:f>XLOOKUP(B911,Orders!A:A,Orders!B:B,"")</x:f>
        <x:v>46136</x:v>
      </x:c>
      <x:c r="M911" t="str">
        <x:f>XLOOKUP(C911,Products!A:A,Products!C:C,"")</x:f>
        <x:v>Electronics</x:v>
      </x:c>
    </x:row>
    <x:row r="912">
      <x:c r="A912" s="15" t="str">
        <x:v>ITEM00383_1</x:v>
      </x:c>
      <x:c r="B912" s="15" t="str">
        <x:v>ORD00383</x:v>
      </x:c>
      <x:c r="C912" s="15" t="str">
        <x:v>PROD037</x:v>
      </x:c>
      <x:c r="D912" s="15" t="n">
        <x:v>2</x:v>
      </x:c>
      <x:c r="E912" s="15" t="n">
        <x:v>9876.8</x:v>
      </x:c>
      <x:c r="F912" s="15" t="n">
        <x:v>0</x:v>
      </x:c>
      <x:c r="G912" s="15" t="n">
        <x:v>19753.6</x:v>
      </x:c>
      <x:c r="H912" s="15" t="n">
        <x:v>19753.6</x:v>
      </x:c>
      <x:c r="I912" s="15" t="n">
        <x:v>14248</x:v>
      </x:c>
      <x:c r="J912" s="15" t="n">
        <x:v>5505.6</x:v>
      </x:c>
      <x:c r="K912" t="str">
        <x:f>XLOOKUP(B912,Orders!A:A,Orders!E:E,"")</x:f>
        <x:v>South</x:v>
      </x:c>
      <x:c r="L912" t="n">
        <x:f>XLOOKUP(B912,Orders!A:A,Orders!B:B,"")</x:f>
        <x:v>45889</x:v>
      </x:c>
      <x:c r="M912" t="str">
        <x:f>XLOOKUP(C912,Products!A:A,Products!C:C,"")</x:f>
        <x:v>Accessories</x:v>
      </x:c>
    </x:row>
    <x:row r="913">
      <x:c r="A913" s="15" t="str">
        <x:v>ITEM00383_2</x:v>
      </x:c>
      <x:c r="B913" s="15" t="str">
        <x:v>ORD00383</x:v>
      </x:c>
      <x:c r="C913" s="15" t="str">
        <x:v>PROD003</x:v>
      </x:c>
      <x:c r="D913" s="15" t="n">
        <x:v>8</x:v>
      </x:c>
      <x:c r="E913" s="15" t="n">
        <x:v>10757.89</x:v>
      </x:c>
      <x:c r="F913" s="15" t="n">
        <x:v>0.15</x:v>
      </x:c>
      <x:c r="G913" s="15" t="n">
        <x:v>86063.12</x:v>
      </x:c>
      <x:c r="H913" s="15" t="n">
        <x:v>73153.65</x:v>
      </x:c>
      <x:c r="I913" s="15" t="n">
        <x:v>59368</x:v>
      </x:c>
      <x:c r="J913" s="15" t="n">
        <x:v>13785.65</x:v>
      </x:c>
      <x:c r="K913" t="str">
        <x:f>XLOOKUP(B913,Orders!A:A,Orders!E:E,"")</x:f>
        <x:v>South</x:v>
      </x:c>
      <x:c r="L913" t="n">
        <x:f>XLOOKUP(B913,Orders!A:A,Orders!B:B,"")</x:f>
        <x:v>45889</x:v>
      </x:c>
      <x:c r="M913" t="str">
        <x:f>XLOOKUP(C913,Products!A:A,Products!C:C,"")</x:f>
        <x:v>Accessories</x:v>
      </x:c>
    </x:row>
    <x:row r="914">
      <x:c r="A914" s="15" t="str">
        <x:v>ITEM00383_3</x:v>
      </x:c>
      <x:c r="B914" s="15" t="str">
        <x:v>ORD00383</x:v>
      </x:c>
      <x:c r="C914" s="15" t="str">
        <x:v>PROD038</x:v>
      </x:c>
      <x:c r="D914" s="15" t="n">
        <x:v>6</x:v>
      </x:c>
      <x:c r="E914" s="15" t="n">
        <x:v>5219.7</x:v>
      </x:c>
      <x:c r="F914" s="15" t="n">
        <x:v>0.15</x:v>
      </x:c>
      <x:c r="G914" s="15" t="n">
        <x:v>31318.2</x:v>
      </x:c>
      <x:c r="H914" s="15" t="n">
        <x:v>26620.47</x:v>
      </x:c>
      <x:c r="I914" s="15" t="n">
        <x:v>23616</x:v>
      </x:c>
      <x:c r="J914" s="15" t="n">
        <x:v>3004.47</x:v>
      </x:c>
      <x:c r="K914" t="str">
        <x:f>XLOOKUP(B914,Orders!A:A,Orders!E:E,"")</x:f>
        <x:v>South</x:v>
      </x:c>
      <x:c r="L914" t="n">
        <x:f>XLOOKUP(B914,Orders!A:A,Orders!B:B,"")</x:f>
        <x:v>45889</x:v>
      </x:c>
      <x:c r="M914" t="str">
        <x:f>XLOOKUP(C914,Products!A:A,Products!C:C,"")</x:f>
        <x:v>Office Supplies</x:v>
      </x:c>
    </x:row>
    <x:row r="915">
      <x:c r="A915" s="15" t="str">
        <x:v>ITEM00383_4</x:v>
      </x:c>
      <x:c r="B915" s="15" t="str">
        <x:v>ORD00383</x:v>
      </x:c>
      <x:c r="C915" s="15" t="str">
        <x:v>PROD021</x:v>
      </x:c>
      <x:c r="D915" s="15" t="n">
        <x:v>3</x:v>
      </x:c>
      <x:c r="E915" s="15" t="n">
        <x:v>6748.85</x:v>
      </x:c>
      <x:c r="F915" s="15" t="n">
        <x:v>0.1</x:v>
      </x:c>
      <x:c r="G915" s="15" t="n">
        <x:v>20246.55</x:v>
      </x:c>
      <x:c r="H915" s="15" t="n">
        <x:v>18221.9</x:v>
      </x:c>
      <x:c r="I915" s="15" t="n">
        <x:v>14997</x:v>
      </x:c>
      <x:c r="J915" s="15" t="n">
        <x:v>3224.9</x:v>
      </x:c>
      <x:c r="K915" t="str">
        <x:f>XLOOKUP(B915,Orders!A:A,Orders!E:E,"")</x:f>
        <x:v>South</x:v>
      </x:c>
      <x:c r="L915" t="n">
        <x:f>XLOOKUP(B915,Orders!A:A,Orders!B:B,"")</x:f>
        <x:v>45889</x:v>
      </x:c>
      <x:c r="M915" t="str">
        <x:f>XLOOKUP(C915,Products!A:A,Products!C:C,"")</x:f>
        <x:v>Electronics</x:v>
      </x:c>
    </x:row>
    <x:row r="916">
      <x:c r="A916" s="15" t="str">
        <x:v>ITEM00384_1</x:v>
      </x:c>
      <x:c r="B916" s="15" t="str">
        <x:v>ORD00384</x:v>
      </x:c>
      <x:c r="C916" s="15" t="str">
        <x:v>PROD039</x:v>
      </x:c>
      <x:c r="D916" s="15" t="n">
        <x:v>7</x:v>
      </x:c>
      <x:c r="E916" s="15" t="n">
        <x:v>5945.62</x:v>
      </x:c>
      <x:c r="F916" s="15" t="n">
        <x:v>0.05</x:v>
      </x:c>
      <x:c r="G916" s="15" t="n">
        <x:v>41619.34</x:v>
      </x:c>
      <x:c r="H916" s="15" t="n">
        <x:v>39538.37</x:v>
      </x:c>
      <x:c r="I916" s="15" t="n">
        <x:v>32011</x:v>
      </x:c>
      <x:c r="J916" s="15" t="n">
        <x:v>7527.37</x:v>
      </x:c>
      <x:c r="K916" t="str">
        <x:f>XLOOKUP(B916,Orders!A:A,Orders!E:E,"")</x:f>
        <x:v>North</x:v>
      </x:c>
      <x:c r="L916" t="n">
        <x:f>XLOOKUP(B916,Orders!A:A,Orders!B:B,"")</x:f>
        <x:v>46054</x:v>
      </x:c>
      <x:c r="M916" t="str">
        <x:f>XLOOKUP(C916,Products!A:A,Products!C:C,"")</x:f>
        <x:v>Office Supplies</x:v>
      </x:c>
    </x:row>
    <x:row r="917">
      <x:c r="A917" s="15" t="str">
        <x:v>ITEM00384_2</x:v>
      </x:c>
      <x:c r="B917" s="15" t="str">
        <x:v>ORD00384</x:v>
      </x:c>
      <x:c r="C917" s="15" t="str">
        <x:v>PROD004</x:v>
      </x:c>
      <x:c r="D917" s="15" t="n">
        <x:v>6</x:v>
      </x:c>
      <x:c r="E917" s="15" t="n">
        <x:v>5435.39</x:v>
      </x:c>
      <x:c r="F917" s="15" t="n">
        <x:v>0.1</x:v>
      </x:c>
      <x:c r="G917" s="15" t="n">
        <x:v>32612.34</x:v>
      </x:c>
      <x:c r="H917" s="15" t="n">
        <x:v>29351.11</x:v>
      </x:c>
      <x:c r="I917" s="15" t="n">
        <x:v>24846</x:v>
      </x:c>
      <x:c r="J917" s="15" t="n">
        <x:v>4505.11</x:v>
      </x:c>
      <x:c r="K917" t="str">
        <x:f>XLOOKUP(B917,Orders!A:A,Orders!E:E,"")</x:f>
        <x:v>North</x:v>
      </x:c>
      <x:c r="L917" t="n">
        <x:f>XLOOKUP(B917,Orders!A:A,Orders!B:B,"")</x:f>
        <x:v>46054</x:v>
      </x:c>
      <x:c r="M917" t="str">
        <x:f>XLOOKUP(C917,Products!A:A,Products!C:C,"")</x:f>
        <x:v>Office Supplies</x:v>
      </x:c>
    </x:row>
    <x:row r="918">
      <x:c r="A918" s="15" t="str">
        <x:v>ITEM00384_3</x:v>
      </x:c>
      <x:c r="B918" s="15" t="str">
        <x:v>ORD00384</x:v>
      </x:c>
      <x:c r="C918" s="15" t="str">
        <x:v>PROD014</x:v>
      </x:c>
      <x:c r="D918" s="15" t="n">
        <x:v>5</x:v>
      </x:c>
      <x:c r="E918" s="15" t="n">
        <x:v>1611.65</x:v>
      </x:c>
      <x:c r="F918" s="15" t="n">
        <x:v>0.15</x:v>
      </x:c>
      <x:c r="G918" s="15" t="n">
        <x:v>8058.25</x:v>
      </x:c>
      <x:c r="H918" s="15" t="n">
        <x:v>6849.51</x:v>
      </x:c>
      <x:c r="I918" s="15" t="n">
        <x:v>6165</x:v>
      </x:c>
      <x:c r="J918" s="15" t="n">
        <x:v>684.51</x:v>
      </x:c>
      <x:c r="K918" t="str">
        <x:f>XLOOKUP(B918,Orders!A:A,Orders!E:E,"")</x:f>
        <x:v>North</x:v>
      </x:c>
      <x:c r="L918" t="n">
        <x:f>XLOOKUP(B918,Orders!A:A,Orders!B:B,"")</x:f>
        <x:v>46054</x:v>
      </x:c>
      <x:c r="M918" t="str">
        <x:f>XLOOKUP(C918,Products!A:A,Products!C:C,"")</x:f>
        <x:v>Office Supplies</x:v>
      </x:c>
    </x:row>
    <x:row r="919">
      <x:c r="A919" s="15" t="str">
        <x:v>ITEM00385_1</x:v>
      </x:c>
      <x:c r="B919" s="15" t="str">
        <x:v>ORD00385</x:v>
      </x:c>
      <x:c r="C919" s="15" t="str">
        <x:v>PROD006</x:v>
      </x:c>
      <x:c r="D919" s="15" t="n">
        <x:v>2</x:v>
      </x:c>
      <x:c r="E919" s="15" t="n">
        <x:v>4261.26</x:v>
      </x:c>
      <x:c r="F919" s="15" t="n">
        <x:v>0</x:v>
      </x:c>
      <x:c r="G919" s="15" t="n">
        <x:v>8522.52</x:v>
      </x:c>
      <x:c r="H919" s="15" t="n">
        <x:v>8522.52</x:v>
      </x:c>
      <x:c r="I919" s="15" t="n">
        <x:v>6134</x:v>
      </x:c>
      <x:c r="J919" s="15" t="n">
        <x:v>2388.52</x:v>
      </x:c>
      <x:c r="K919" t="str">
        <x:f>XLOOKUP(B919,Orders!A:A,Orders!E:E,"")</x:f>
        <x:v>North</x:v>
      </x:c>
      <x:c r="L919" t="n">
        <x:f>XLOOKUP(B919,Orders!A:A,Orders!B:B,"")</x:f>
        <x:v>45697</x:v>
      </x:c>
      <x:c r="M919" t="str">
        <x:f>XLOOKUP(C919,Products!A:A,Products!C:C,"")</x:f>
        <x:v>Office Supplies</x:v>
      </x:c>
    </x:row>
    <x:row r="920">
      <x:c r="A920" s="15" t="str">
        <x:v>ITEM00386_1</x:v>
      </x:c>
      <x:c r="B920" s="15" t="str">
        <x:v>ORD00386</x:v>
      </x:c>
      <x:c r="C920" s="15" t="str">
        <x:v>PROD032</x:v>
      </x:c>
      <x:c r="D920" s="15" t="n">
        <x:v>3</x:v>
      </x:c>
      <x:c r="E920" s="15" t="n">
        <x:v>6307.06</x:v>
      </x:c>
      <x:c r="F920" s="15" t="n">
        <x:v>0.15</x:v>
      </x:c>
      <x:c r="G920" s="15" t="n">
        <x:v>18921.18</x:v>
      </x:c>
      <x:c r="H920" s="15" t="n">
        <x:v>16083</x:v>
      </x:c>
      <x:c r="I920" s="15" t="n">
        <x:v>15231</x:v>
      </x:c>
      <x:c r="J920" s="15" t="n">
        <x:v>852</x:v>
      </x:c>
      <x:c r="K920" t="str">
        <x:f>XLOOKUP(B920,Orders!A:A,Orders!E:E,"")</x:f>
        <x:v>East</x:v>
      </x:c>
      <x:c r="L920" t="n">
        <x:f>XLOOKUP(B920,Orders!A:A,Orders!B:B,"")</x:f>
        <x:v>46021</x:v>
      </x:c>
      <x:c r="M920" t="str">
        <x:f>XLOOKUP(C920,Products!A:A,Products!C:C,"")</x:f>
        <x:v>Electronics</x:v>
      </x:c>
    </x:row>
    <x:row r="921">
      <x:c r="A921" s="15" t="str">
        <x:v>ITEM00386_2</x:v>
      </x:c>
      <x:c r="B921" s="15" t="str">
        <x:v>ORD00386</x:v>
      </x:c>
      <x:c r="C921" s="15" t="str">
        <x:v>PROD020</x:v>
      </x:c>
      <x:c r="D921" s="15" t="n">
        <x:v>1</x:v>
      </x:c>
      <x:c r="E921" s="15" t="n">
        <x:v>6564.04</x:v>
      </x:c>
      <x:c r="F921" s="15" t="n">
        <x:v>0.1</x:v>
      </x:c>
      <x:c r="G921" s="15" t="n">
        <x:v>6564.04</x:v>
      </x:c>
      <x:c r="H921" s="15" t="n">
        <x:v>5907.64</x:v>
      </x:c>
      <x:c r="I921" s="15" t="n">
        <x:v>4585</x:v>
      </x:c>
      <x:c r="J921" s="15" t="n">
        <x:v>1322.64</x:v>
      </x:c>
      <x:c r="K921" t="str">
        <x:f>XLOOKUP(B921,Orders!A:A,Orders!E:E,"")</x:f>
        <x:v>East</x:v>
      </x:c>
      <x:c r="L921" t="n">
        <x:f>XLOOKUP(B921,Orders!A:A,Orders!B:B,"")</x:f>
        <x:v>46021</x:v>
      </x:c>
      <x:c r="M921" t="str">
        <x:f>XLOOKUP(C921,Products!A:A,Products!C:C,"")</x:f>
        <x:v>Accessories</x:v>
      </x:c>
    </x:row>
    <x:row r="922">
      <x:c r="A922" s="15" t="str">
        <x:v>ITEM00386_3</x:v>
      </x:c>
      <x:c r="B922" s="15" t="str">
        <x:v>ORD00386</x:v>
      </x:c>
      <x:c r="C922" s="15" t="str">
        <x:v>PROD016</x:v>
      </x:c>
      <x:c r="D922" s="15" t="n">
        <x:v>5</x:v>
      </x:c>
      <x:c r="E922" s="15" t="n">
        <x:v>3884.33</x:v>
      </x:c>
      <x:c r="F922" s="15" t="n">
        <x:v>0</x:v>
      </x:c>
      <x:c r="G922" s="15" t="n">
        <x:v>19421.65</x:v>
      </x:c>
      <x:c r="H922" s="15" t="n">
        <x:v>19421.65</x:v>
      </x:c>
      <x:c r="I922" s="15" t="n">
        <x:v>15235</x:v>
      </x:c>
      <x:c r="J922" s="15" t="n">
        <x:v>4186.65</x:v>
      </x:c>
      <x:c r="K922" t="str">
        <x:f>XLOOKUP(B922,Orders!A:A,Orders!E:E,"")</x:f>
        <x:v>East</x:v>
      </x:c>
      <x:c r="L922" t="n">
        <x:f>XLOOKUP(B922,Orders!A:A,Orders!B:B,"")</x:f>
        <x:v>46021</x:v>
      </x:c>
      <x:c r="M922" t="str">
        <x:f>XLOOKUP(C922,Products!A:A,Products!C:C,"")</x:f>
        <x:v>Electronics</x:v>
      </x:c>
    </x:row>
    <x:row r="923">
      <x:c r="A923" s="15" t="str">
        <x:v>ITEM00387_1</x:v>
      </x:c>
      <x:c r="B923" s="15" t="str">
        <x:v>ORD00387</x:v>
      </x:c>
      <x:c r="C923" s="15" t="str">
        <x:v>PROD035</x:v>
      </x:c>
      <x:c r="D923" s="15" t="n">
        <x:v>5</x:v>
      </x:c>
      <x:c r="E923" s="15" t="n">
        <x:v>3972.26</x:v>
      </x:c>
      <x:c r="F923" s="15" t="n">
        <x:v>0.05</x:v>
      </x:c>
      <x:c r="G923" s="15" t="n">
        <x:v>19861.3</x:v>
      </x:c>
      <x:c r="H923" s="15" t="n">
        <x:v>18868.23</x:v>
      </x:c>
      <x:c r="I923" s="15" t="n">
        <x:v>15935</x:v>
      </x:c>
      <x:c r="J923" s="15" t="n">
        <x:v>2933.23</x:v>
      </x:c>
      <x:c r="K923" t="str">
        <x:f>XLOOKUP(B923,Orders!A:A,Orders!E:E,"")</x:f>
        <x:v>East</x:v>
      </x:c>
      <x:c r="L923" t="n">
        <x:f>XLOOKUP(B923,Orders!A:A,Orders!B:B,"")</x:f>
        <x:v>45687</x:v>
      </x:c>
      <x:c r="M923" t="str">
        <x:f>XLOOKUP(C923,Products!A:A,Products!C:C,"")</x:f>
        <x:v>Electronics</x:v>
      </x:c>
    </x:row>
    <x:row r="924">
      <x:c r="A924" s="15" t="str">
        <x:v>ITEM00387_2</x:v>
      </x:c>
      <x:c r="B924" s="15" t="str">
        <x:v>ORD00387</x:v>
      </x:c>
      <x:c r="C924" s="15" t="str">
        <x:v>PROD025</x:v>
      </x:c>
      <x:c r="D924" s="15" t="n">
        <x:v>3</x:v>
      </x:c>
      <x:c r="E924" s="15" t="n">
        <x:v>1148.84</x:v>
      </x:c>
      <x:c r="F924" s="15" t="n">
        <x:v>0.15</x:v>
      </x:c>
      <x:c r="G924" s="15" t="n">
        <x:v>3446.52</x:v>
      </x:c>
      <x:c r="H924" s="15" t="n">
        <x:v>2929.54</x:v>
      </x:c>
      <x:c r="I924" s="15" t="n">
        <x:v>2634</x:v>
      </x:c>
      <x:c r="J924" s="15" t="n">
        <x:v>295.54</x:v>
      </x:c>
      <x:c r="K924" t="str">
        <x:f>XLOOKUP(B924,Orders!A:A,Orders!E:E,"")</x:f>
        <x:v>East</x:v>
      </x:c>
      <x:c r="L924" t="n">
        <x:f>XLOOKUP(B924,Orders!A:A,Orders!B:B,"")</x:f>
        <x:v>45687</x:v>
      </x:c>
      <x:c r="M924" t="str">
        <x:f>XLOOKUP(C924,Products!A:A,Products!C:C,"")</x:f>
        <x:v>Furniture</x:v>
      </x:c>
    </x:row>
    <x:row r="925">
      <x:c r="A925" s="15" t="str">
        <x:v>ITEM00387_3</x:v>
      </x:c>
      <x:c r="B925" s="15" t="str">
        <x:v>ORD00387</x:v>
      </x:c>
      <x:c r="C925" s="15" t="str">
        <x:v>PROD031</x:v>
      </x:c>
      <x:c r="D925" s="15" t="n">
        <x:v>5</x:v>
      </x:c>
      <x:c r="E925" s="15" t="n">
        <x:v>3371.81</x:v>
      </x:c>
      <x:c r="F925" s="15" t="n">
        <x:v>0.1</x:v>
      </x:c>
      <x:c r="G925" s="15" t="n">
        <x:v>16859.05</x:v>
      </x:c>
      <x:c r="H925" s="15" t="n">
        <x:v>15173.15</x:v>
      </x:c>
      <x:c r="I925" s="15" t="n">
        <x:v>13985</x:v>
      </x:c>
      <x:c r="J925" s="15" t="n">
        <x:v>1188.15</x:v>
      </x:c>
      <x:c r="K925" t="str">
        <x:f>XLOOKUP(B925,Orders!A:A,Orders!E:E,"")</x:f>
        <x:v>East</x:v>
      </x:c>
      <x:c r="L925" t="n">
        <x:f>XLOOKUP(B925,Orders!A:A,Orders!B:B,"")</x:f>
        <x:v>45687</x:v>
      </x:c>
      <x:c r="M925" t="str">
        <x:f>XLOOKUP(C925,Products!A:A,Products!C:C,"")</x:f>
        <x:v>Furniture</x:v>
      </x:c>
    </x:row>
    <x:row r="926">
      <x:c r="A926" s="15" t="str">
        <x:v>ITEM00388_1</x:v>
      </x:c>
      <x:c r="B926" s="15" t="str">
        <x:v>ORD00388</x:v>
      </x:c>
      <x:c r="C926" s="15" t="str">
        <x:v>PROD026</x:v>
      </x:c>
      <x:c r="D926" s="15" t="n">
        <x:v>7</x:v>
      </x:c>
      <x:c r="E926" s="15" t="n">
        <x:v>3848.69</x:v>
      </x:c>
      <x:c r="F926" s="15" t="n">
        <x:v>0</x:v>
      </x:c>
      <x:c r="G926" s="15" t="n">
        <x:v>26940.83</x:v>
      </x:c>
      <x:c r="H926" s="15" t="n">
        <x:v>26940.83</x:v>
      </x:c>
      <x:c r="I926" s="15" t="n">
        <x:v>18438</x:v>
      </x:c>
      <x:c r="J926" s="15" t="n">
        <x:v>8502.83</x:v>
      </x:c>
      <x:c r="K926" t="str">
        <x:f>XLOOKUP(B926,Orders!A:A,Orders!E:E,"")</x:f>
        <x:v>West</x:v>
      </x:c>
      <x:c r="L926" t="n">
        <x:f>XLOOKUP(B926,Orders!A:A,Orders!B:B,"")</x:f>
        <x:v>45729</x:v>
      </x:c>
      <x:c r="M926" t="str">
        <x:f>XLOOKUP(C926,Products!A:A,Products!C:C,"")</x:f>
        <x:v>Accessories</x:v>
      </x:c>
    </x:row>
    <x:row r="927">
      <x:c r="A927" s="15" t="str">
        <x:v>ITEM00388_2</x:v>
      </x:c>
      <x:c r="B927" s="15" t="str">
        <x:v>ORD00388</x:v>
      </x:c>
      <x:c r="C927" s="15" t="str">
        <x:v>PROD015</x:v>
      </x:c>
      <x:c r="D927" s="15" t="n">
        <x:v>1</x:v>
      </x:c>
      <x:c r="E927" s="15" t="n">
        <x:v>5903.1</x:v>
      </x:c>
      <x:c r="F927" s="15" t="n">
        <x:v>0</x:v>
      </x:c>
      <x:c r="G927" s="15" t="n">
        <x:v>5903.1</x:v>
      </x:c>
      <x:c r="H927" s="15" t="n">
        <x:v>5903.1</x:v>
      </x:c>
      <x:c r="I927" s="15" t="n">
        <x:v>4785</x:v>
      </x:c>
      <x:c r="J927" s="15" t="n">
        <x:v>1118.1</x:v>
      </x:c>
      <x:c r="K927" t="str">
        <x:f>XLOOKUP(B927,Orders!A:A,Orders!E:E,"")</x:f>
        <x:v>West</x:v>
      </x:c>
      <x:c r="L927" t="n">
        <x:f>XLOOKUP(B927,Orders!A:A,Orders!B:B,"")</x:f>
        <x:v>45729</x:v>
      </x:c>
      <x:c r="M927" t="str">
        <x:f>XLOOKUP(C927,Products!A:A,Products!C:C,"")</x:f>
        <x:v>Electronics</x:v>
      </x:c>
    </x:row>
    <x:row r="928">
      <x:c r="A928" s="15" t="str">
        <x:v>ITEM00388_3</x:v>
      </x:c>
      <x:c r="B928" s="15" t="str">
        <x:v>ORD00388</x:v>
      </x:c>
      <x:c r="C928" s="15" t="str">
        <x:v>PROD006</x:v>
      </x:c>
      <x:c r="D928" s="15" t="n">
        <x:v>5</x:v>
      </x:c>
      <x:c r="E928" s="15" t="n">
        <x:v>4261.26</x:v>
      </x:c>
      <x:c r="F928" s="15" t="n">
        <x:v>0</x:v>
      </x:c>
      <x:c r="G928" s="15" t="n">
        <x:v>21306.3</x:v>
      </x:c>
      <x:c r="H928" s="15" t="n">
        <x:v>21306.3</x:v>
      </x:c>
      <x:c r="I928" s="15" t="n">
        <x:v>15335</x:v>
      </x:c>
      <x:c r="J928" s="15" t="n">
        <x:v>5971.3</x:v>
      </x:c>
      <x:c r="K928" t="str">
        <x:f>XLOOKUP(B928,Orders!A:A,Orders!E:E,"")</x:f>
        <x:v>West</x:v>
      </x:c>
      <x:c r="L928" t="n">
        <x:f>XLOOKUP(B928,Orders!A:A,Orders!B:B,"")</x:f>
        <x:v>45729</x:v>
      </x:c>
      <x:c r="M928" t="str">
        <x:f>XLOOKUP(C928,Products!A:A,Products!C:C,"")</x:f>
        <x:v>Office Supplies</x:v>
      </x:c>
    </x:row>
    <x:row r="929">
      <x:c r="A929" s="15" t="str">
        <x:v>ITEM00389_1</x:v>
      </x:c>
      <x:c r="B929" s="15" t="str">
        <x:v>ORD00389</x:v>
      </x:c>
      <x:c r="C929" s="15" t="str">
        <x:v>PROD011</x:v>
      </x:c>
      <x:c r="D929" s="15" t="n">
        <x:v>6</x:v>
      </x:c>
      <x:c r="E929" s="15" t="n">
        <x:v>7135.27</x:v>
      </x:c>
      <x:c r="F929" s="15" t="n">
        <x:v>0</x:v>
      </x:c>
      <x:c r="G929" s="15" t="n">
        <x:v>42811.62</x:v>
      </x:c>
      <x:c r="H929" s="15" t="n">
        <x:v>42811.62</x:v>
      </x:c>
      <x:c r="I929" s="15" t="n">
        <x:v>31218</x:v>
      </x:c>
      <x:c r="J929" s="15" t="n">
        <x:v>11593.62</x:v>
      </x:c>
      <x:c r="K929" t="str">
        <x:f>XLOOKUP(B929,Orders!A:A,Orders!E:E,"")</x:f>
        <x:v>West</x:v>
      </x:c>
      <x:c r="L929" t="n">
        <x:f>XLOOKUP(B929,Orders!A:A,Orders!B:B,"")</x:f>
        <x:v>46055</x:v>
      </x:c>
      <x:c r="M929" t="str">
        <x:f>XLOOKUP(C929,Products!A:A,Products!C:C,"")</x:f>
        <x:v>Accessories</x:v>
      </x:c>
    </x:row>
    <x:row r="930">
      <x:c r="A930" s="15" t="str">
        <x:v>ITEM00389_2</x:v>
      </x:c>
      <x:c r="B930" s="15" t="str">
        <x:v>ORD00389</x:v>
      </x:c>
      <x:c r="C930" s="15" t="str">
        <x:v>PROD005</x:v>
      </x:c>
      <x:c r="D930" s="15" t="n">
        <x:v>1</x:v>
      </x:c>
      <x:c r="E930" s="15" t="n">
        <x:v>6453.62</x:v>
      </x:c>
      <x:c r="F930" s="15" t="n">
        <x:v>0</x:v>
      </x:c>
      <x:c r="G930" s="15" t="n">
        <x:v>6453.62</x:v>
      </x:c>
      <x:c r="H930" s="15" t="n">
        <x:v>6453.62</x:v>
      </x:c>
      <x:c r="I930" s="15" t="n">
        <x:v>4848</x:v>
      </x:c>
      <x:c r="J930" s="15" t="n">
        <x:v>1605.62</x:v>
      </x:c>
      <x:c r="K930" t="str">
        <x:f>XLOOKUP(B930,Orders!A:A,Orders!E:E,"")</x:f>
        <x:v>West</x:v>
      </x:c>
      <x:c r="L930" t="n">
        <x:f>XLOOKUP(B930,Orders!A:A,Orders!B:B,"")</x:f>
        <x:v>46055</x:v>
      </x:c>
      <x:c r="M930" t="str">
        <x:f>XLOOKUP(C930,Products!A:A,Products!C:C,"")</x:f>
        <x:v>Office Supplies</x:v>
      </x:c>
    </x:row>
    <x:row r="931">
      <x:c r="A931" s="15" t="str">
        <x:v>ITEM00389_3</x:v>
      </x:c>
      <x:c r="B931" s="15" t="str">
        <x:v>ORD00389</x:v>
      </x:c>
      <x:c r="C931" s="15" t="str">
        <x:v>PROD019</x:v>
      </x:c>
      <x:c r="D931" s="15" t="n">
        <x:v>8</x:v>
      </x:c>
      <x:c r="E931" s="15" t="n">
        <x:v>5996.29</x:v>
      </x:c>
      <x:c r="F931" s="15" t="n">
        <x:v>0.05</x:v>
      </x:c>
      <x:c r="G931" s="15" t="n">
        <x:v>47970.32</x:v>
      </x:c>
      <x:c r="H931" s="15" t="n">
        <x:v>45571.8</x:v>
      </x:c>
      <x:c r="I931" s="15" t="n">
        <x:v>36080</x:v>
      </x:c>
      <x:c r="J931" s="15" t="n">
        <x:v>9491.8</x:v>
      </x:c>
      <x:c r="K931" t="str">
        <x:f>XLOOKUP(B931,Orders!A:A,Orders!E:E,"")</x:f>
        <x:v>West</x:v>
      </x:c>
      <x:c r="L931" t="n">
        <x:f>XLOOKUP(B931,Orders!A:A,Orders!B:B,"")</x:f>
        <x:v>46055</x:v>
      </x:c>
      <x:c r="M931" t="str">
        <x:f>XLOOKUP(C931,Products!A:A,Products!C:C,"")</x:f>
        <x:v>Electronics</x:v>
      </x:c>
    </x:row>
    <x:row r="932">
      <x:c r="A932" s="15" t="str">
        <x:v>ITEM00390_1</x:v>
      </x:c>
      <x:c r="B932" s="15" t="str">
        <x:v>ORD00390</x:v>
      </x:c>
      <x:c r="C932" s="15" t="str">
        <x:v>PROD011</x:v>
      </x:c>
      <x:c r="D932" s="15" t="n">
        <x:v>1</x:v>
      </x:c>
      <x:c r="E932" s="15" t="n">
        <x:v>7135.27</x:v>
      </x:c>
      <x:c r="F932" s="15" t="n">
        <x:v>0.05</x:v>
      </x:c>
      <x:c r="G932" s="15" t="n">
        <x:v>7135.27</x:v>
      </x:c>
      <x:c r="H932" s="15" t="n">
        <x:v>6778.51</x:v>
      </x:c>
      <x:c r="I932" s="15" t="n">
        <x:v>5203</x:v>
      </x:c>
      <x:c r="J932" s="15" t="n">
        <x:v>1575.51</x:v>
      </x:c>
      <x:c r="K932" t="str">
        <x:f>XLOOKUP(B932,Orders!A:A,Orders!E:E,"")</x:f>
        <x:v>East</x:v>
      </x:c>
      <x:c r="L932" t="n">
        <x:f>XLOOKUP(B932,Orders!A:A,Orders!B:B,"")</x:f>
        <x:v>45703</x:v>
      </x:c>
      <x:c r="M932" t="str">
        <x:f>XLOOKUP(C932,Products!A:A,Products!C:C,"")</x:f>
        <x:v>Accessories</x:v>
      </x:c>
    </x:row>
    <x:row r="933">
      <x:c r="A933" s="15" t="str">
        <x:v>ITEM00390_2</x:v>
      </x:c>
      <x:c r="B933" s="15" t="str">
        <x:v>ORD00390</x:v>
      </x:c>
      <x:c r="C933" s="15" t="str">
        <x:v>PROD023</x:v>
      </x:c>
      <x:c r="D933" s="15" t="n">
        <x:v>1</x:v>
      </x:c>
      <x:c r="E933" s="15" t="n">
        <x:v>5153.56</x:v>
      </x:c>
      <x:c r="F933" s="15" t="n">
        <x:v>0</x:v>
      </x:c>
      <x:c r="G933" s="15" t="n">
        <x:v>5153.56</x:v>
      </x:c>
      <x:c r="H933" s="15" t="n">
        <x:v>5153.56</x:v>
      </x:c>
      <x:c r="I933" s="15" t="n">
        <x:v>3958</x:v>
      </x:c>
      <x:c r="J933" s="15" t="n">
        <x:v>1195.56</x:v>
      </x:c>
      <x:c r="K933" t="str">
        <x:f>XLOOKUP(B933,Orders!A:A,Orders!E:E,"")</x:f>
        <x:v>East</x:v>
      </x:c>
      <x:c r="L933" t="n">
        <x:f>XLOOKUP(B933,Orders!A:A,Orders!B:B,"")</x:f>
        <x:v>45703</x:v>
      </x:c>
      <x:c r="M933" t="str">
        <x:f>XLOOKUP(C933,Products!A:A,Products!C:C,"")</x:f>
        <x:v>Electronics</x:v>
      </x:c>
    </x:row>
    <x:row r="934">
      <x:c r="A934" s="15" t="str">
        <x:v>ITEM00391_1</x:v>
      </x:c>
      <x:c r="B934" s="15" t="str">
        <x:v>ORD00391</x:v>
      </x:c>
      <x:c r="C934" s="15" t="str">
        <x:v>PROD036</x:v>
      </x:c>
      <x:c r="D934" s="15" t="n">
        <x:v>3</x:v>
      </x:c>
      <x:c r="E934" s="15" t="n">
        <x:v>7158.64</x:v>
      </x:c>
      <x:c r="F934" s="15" t="n">
        <x:v>0.05</x:v>
      </x:c>
      <x:c r="G934" s="15" t="n">
        <x:v>21475.92</x:v>
      </x:c>
      <x:c r="H934" s="15" t="n">
        <x:v>20402.12</x:v>
      </x:c>
      <x:c r="I934" s="15" t="n">
        <x:v>15513</x:v>
      </x:c>
      <x:c r="J934" s="15" t="n">
        <x:v>4889.12</x:v>
      </x:c>
      <x:c r="K934" t="str">
        <x:f>XLOOKUP(B934,Orders!A:A,Orders!E:E,"")</x:f>
        <x:v>North</x:v>
      </x:c>
      <x:c r="L934" t="n">
        <x:f>XLOOKUP(B934,Orders!A:A,Orders!B:B,"")</x:f>
        <x:v>46123</x:v>
      </x:c>
      <x:c r="M934" t="str">
        <x:f>XLOOKUP(C934,Products!A:A,Products!C:C,"")</x:f>
        <x:v>Accessories</x:v>
      </x:c>
    </x:row>
    <x:row r="935">
      <x:c r="A935" s="15" t="str">
        <x:v>ITEM00392_1</x:v>
      </x:c>
      <x:c r="B935" s="15" t="str">
        <x:v>ORD00392</x:v>
      </x:c>
      <x:c r="C935" s="15" t="str">
        <x:v>PROD002</x:v>
      </x:c>
      <x:c r="D935" s="15" t="n">
        <x:v>7</x:v>
      </x:c>
      <x:c r="E935" s="15" t="n">
        <x:v>4655.92</x:v>
      </x:c>
      <x:c r="F935" s="15" t="n">
        <x:v>0.1</x:v>
      </x:c>
      <x:c r="G935" s="15" t="n">
        <x:v>32591.44</x:v>
      </x:c>
      <x:c r="H935" s="15" t="n">
        <x:v>29332.3</x:v>
      </x:c>
      <x:c r="I935" s="15" t="n">
        <x:v>21931</x:v>
      </x:c>
      <x:c r="J935" s="15" t="n">
        <x:v>7401.3</x:v>
      </x:c>
      <x:c r="K935" t="str">
        <x:f>XLOOKUP(B935,Orders!A:A,Orders!E:E,"")</x:f>
        <x:v>East</x:v>
      </x:c>
      <x:c r="L935" t="n">
        <x:f>XLOOKUP(B935,Orders!A:A,Orders!B:B,"")</x:f>
        <x:v>45718</x:v>
      </x:c>
      <x:c r="M935" t="str">
        <x:f>XLOOKUP(C935,Products!A:A,Products!C:C,"")</x:f>
        <x:v>Accessories</x:v>
      </x:c>
    </x:row>
    <x:row r="936">
      <x:c r="A936" s="15" t="str">
        <x:v>ITEM00392_2</x:v>
      </x:c>
      <x:c r="B936" s="15" t="str">
        <x:v>ORD00392</x:v>
      </x:c>
      <x:c r="C936" s="15" t="str">
        <x:v>PROD032</x:v>
      </x:c>
      <x:c r="D936" s="15" t="n">
        <x:v>4</x:v>
      </x:c>
      <x:c r="E936" s="15" t="n">
        <x:v>6307.06</x:v>
      </x:c>
      <x:c r="F936" s="15" t="n">
        <x:v>0</x:v>
      </x:c>
      <x:c r="G936" s="15" t="n">
        <x:v>25228.24</x:v>
      </x:c>
      <x:c r="H936" s="15" t="n">
        <x:v>25228.24</x:v>
      </x:c>
      <x:c r="I936" s="15" t="n">
        <x:v>20308</x:v>
      </x:c>
      <x:c r="J936" s="15" t="n">
        <x:v>4920.24</x:v>
      </x:c>
      <x:c r="K936" t="str">
        <x:f>XLOOKUP(B936,Orders!A:A,Orders!E:E,"")</x:f>
        <x:v>East</x:v>
      </x:c>
      <x:c r="L936" t="n">
        <x:f>XLOOKUP(B936,Orders!A:A,Orders!B:B,"")</x:f>
        <x:v>45718</x:v>
      </x:c>
      <x:c r="M936" t="str">
        <x:f>XLOOKUP(C936,Products!A:A,Products!C:C,"")</x:f>
        <x:v>Electronics</x:v>
      </x:c>
    </x:row>
    <x:row r="937">
      <x:c r="A937" s="15" t="str">
        <x:v>ITEM00392_3</x:v>
      </x:c>
      <x:c r="B937" s="15" t="str">
        <x:v>ORD00392</x:v>
      </x:c>
      <x:c r="C937" s="15" t="str">
        <x:v>PROD030</x:v>
      </x:c>
      <x:c r="D937" s="15" t="n">
        <x:v>8</x:v>
      </x:c>
      <x:c r="E937" s="15" t="n">
        <x:v>5180.7</x:v>
      </x:c>
      <x:c r="F937" s="15" t="n">
        <x:v>0.1</x:v>
      </x:c>
      <x:c r="G937" s="15" t="n">
        <x:v>41445.6</x:v>
      </x:c>
      <x:c r="H937" s="15" t="n">
        <x:v>37301.04</x:v>
      </x:c>
      <x:c r="I937" s="15" t="n">
        <x:v>31104</x:v>
      </x:c>
      <x:c r="J937" s="15" t="n">
        <x:v>6197.04</x:v>
      </x:c>
      <x:c r="K937" t="str">
        <x:f>XLOOKUP(B937,Orders!A:A,Orders!E:E,"")</x:f>
        <x:v>East</x:v>
      </x:c>
      <x:c r="L937" t="n">
        <x:f>XLOOKUP(B937,Orders!A:A,Orders!B:B,"")</x:f>
        <x:v>45718</x:v>
      </x:c>
      <x:c r="M937" t="str">
        <x:f>XLOOKUP(C937,Products!A:A,Products!C:C,"")</x:f>
        <x:v>Office Supplies</x:v>
      </x:c>
    </x:row>
    <x:row r="938">
      <x:c r="A938" s="15" t="str">
        <x:v>ITEM00392_4</x:v>
      </x:c>
      <x:c r="B938" s="15" t="str">
        <x:v>ORD00392</x:v>
      </x:c>
      <x:c r="C938" s="15" t="str">
        <x:v>PROD003</x:v>
      </x:c>
      <x:c r="D938" s="15" t="n">
        <x:v>4</x:v>
      </x:c>
      <x:c r="E938" s="15" t="n">
        <x:v>10757.89</x:v>
      </x:c>
      <x:c r="F938" s="15" t="n">
        <x:v>0</x:v>
      </x:c>
      <x:c r="G938" s="15" t="n">
        <x:v>43031.56</x:v>
      </x:c>
      <x:c r="H938" s="15" t="n">
        <x:v>43031.56</x:v>
      </x:c>
      <x:c r="I938" s="15" t="n">
        <x:v>29684</x:v>
      </x:c>
      <x:c r="J938" s="15" t="n">
        <x:v>13347.56</x:v>
      </x:c>
      <x:c r="K938" t="str">
        <x:f>XLOOKUP(B938,Orders!A:A,Orders!E:E,"")</x:f>
        <x:v>East</x:v>
      </x:c>
      <x:c r="L938" t="n">
        <x:f>XLOOKUP(B938,Orders!A:A,Orders!B:B,"")</x:f>
        <x:v>45718</x:v>
      </x:c>
      <x:c r="M938" t="str">
        <x:f>XLOOKUP(C938,Products!A:A,Products!C:C,"")</x:f>
        <x:v>Accessories</x:v>
      </x:c>
    </x:row>
    <x:row r="939">
      <x:c r="A939" s="15" t="str">
        <x:v>ITEM00393_1</x:v>
      </x:c>
      <x:c r="B939" s="15" t="str">
        <x:v>ORD00393</x:v>
      </x:c>
      <x:c r="C939" s="15" t="str">
        <x:v>PROD014</x:v>
      </x:c>
      <x:c r="D939" s="15" t="n">
        <x:v>6</x:v>
      </x:c>
      <x:c r="E939" s="15" t="n">
        <x:v>1611.65</x:v>
      </x:c>
      <x:c r="F939" s="15" t="n">
        <x:v>0</x:v>
      </x:c>
      <x:c r="G939" s="15" t="n">
        <x:v>9669.9</x:v>
      </x:c>
      <x:c r="H939" s="15" t="n">
        <x:v>9669.9</x:v>
      </x:c>
      <x:c r="I939" s="15" t="n">
        <x:v>7398</x:v>
      </x:c>
      <x:c r="J939" s="15" t="n">
        <x:v>2271.9</x:v>
      </x:c>
      <x:c r="K939" t="str">
        <x:f>XLOOKUP(B939,Orders!A:A,Orders!E:E,"")</x:f>
        <x:v>South</x:v>
      </x:c>
      <x:c r="L939" t="n">
        <x:f>XLOOKUP(B939,Orders!A:A,Orders!B:B,"")</x:f>
        <x:v>45745</x:v>
      </x:c>
      <x:c r="M939" t="str">
        <x:f>XLOOKUP(C939,Products!A:A,Products!C:C,"")</x:f>
        <x:v>Office Supplies</x:v>
      </x:c>
    </x:row>
    <x:row r="940">
      <x:c r="A940" s="15" t="str">
        <x:v>ITEM00393_2</x:v>
      </x:c>
      <x:c r="B940" s="15" t="str">
        <x:v>ORD00393</x:v>
      </x:c>
      <x:c r="C940" s="15" t="str">
        <x:v>PROD009</x:v>
      </x:c>
      <x:c r="D940" s="15" t="n">
        <x:v>1</x:v>
      </x:c>
      <x:c r="E940" s="15" t="n">
        <x:v>4722.96</x:v>
      </x:c>
      <x:c r="F940" s="15" t="n">
        <x:v>0.05</x:v>
      </x:c>
      <x:c r="G940" s="15" t="n">
        <x:v>4722.96</x:v>
      </x:c>
      <x:c r="H940" s="15" t="n">
        <x:v>4486.81</x:v>
      </x:c>
      <x:c r="I940" s="15" t="n">
        <x:v>3213</x:v>
      </x:c>
      <x:c r="J940" s="15" t="n">
        <x:v>1273.81</x:v>
      </x:c>
      <x:c r="K940" t="str">
        <x:f>XLOOKUP(B940,Orders!A:A,Orders!E:E,"")</x:f>
        <x:v>South</x:v>
      </x:c>
      <x:c r="L940" t="n">
        <x:f>XLOOKUP(B940,Orders!A:A,Orders!B:B,"")</x:f>
        <x:v>45745</x:v>
      </x:c>
      <x:c r="M940" t="str">
        <x:f>XLOOKUP(C940,Products!A:A,Products!C:C,"")</x:f>
        <x:v>Accessories</x:v>
      </x:c>
    </x:row>
    <x:row r="941">
      <x:c r="A941" s="15" t="str">
        <x:v>ITEM00393_3</x:v>
      </x:c>
      <x:c r="B941" s="15" t="str">
        <x:v>ORD00393</x:v>
      </x:c>
      <x:c r="C941" s="15" t="str">
        <x:v>PROD013</x:v>
      </x:c>
      <x:c r="D941" s="15" t="n">
        <x:v>5</x:v>
      </x:c>
      <x:c r="E941" s="15" t="n">
        <x:v>7614.02</x:v>
      </x:c>
      <x:c r="F941" s="15" t="n">
        <x:v>0</x:v>
      </x:c>
      <x:c r="G941" s="15" t="n">
        <x:v>38070.1</x:v>
      </x:c>
      <x:c r="H941" s="15" t="n">
        <x:v>38070.1</x:v>
      </x:c>
      <x:c r="I941" s="15" t="n">
        <x:v>30385</x:v>
      </x:c>
      <x:c r="J941" s="15" t="n">
        <x:v>7685.1</x:v>
      </x:c>
      <x:c r="K941" t="str">
        <x:f>XLOOKUP(B941,Orders!A:A,Orders!E:E,"")</x:f>
        <x:v>South</x:v>
      </x:c>
      <x:c r="L941" t="n">
        <x:f>XLOOKUP(B941,Orders!A:A,Orders!B:B,"")</x:f>
        <x:v>45745</x:v>
      </x:c>
      <x:c r="M941" t="str">
        <x:f>XLOOKUP(C941,Products!A:A,Products!C:C,"")</x:f>
        <x:v>Furniture</x:v>
      </x:c>
    </x:row>
    <x:row r="942">
      <x:c r="A942" s="15" t="str">
        <x:v>ITEM00394_1</x:v>
      </x:c>
      <x:c r="B942" s="15" t="str">
        <x:v>ORD00394</x:v>
      </x:c>
      <x:c r="C942" s="15" t="str">
        <x:v>PROD014</x:v>
      </x:c>
      <x:c r="D942" s="15" t="n">
        <x:v>7</x:v>
      </x:c>
      <x:c r="E942" s="15" t="n">
        <x:v>1611.65</x:v>
      </x:c>
      <x:c r="F942" s="15" t="n">
        <x:v>0</x:v>
      </x:c>
      <x:c r="G942" s="15" t="n">
        <x:v>11281.55</x:v>
      </x:c>
      <x:c r="H942" s="15" t="n">
        <x:v>11281.55</x:v>
      </x:c>
      <x:c r="I942" s="15" t="n">
        <x:v>8631</x:v>
      </x:c>
      <x:c r="J942" s="15" t="n">
        <x:v>2650.55</x:v>
      </x:c>
      <x:c r="K942" t="str">
        <x:f>XLOOKUP(B942,Orders!A:A,Orders!E:E,"")</x:f>
        <x:v>North</x:v>
      </x:c>
      <x:c r="L942" t="n">
        <x:f>XLOOKUP(B942,Orders!A:A,Orders!B:B,"")</x:f>
        <x:v>45794</x:v>
      </x:c>
      <x:c r="M942" t="str">
        <x:f>XLOOKUP(C942,Products!A:A,Products!C:C,"")</x:f>
        <x:v>Office Supplies</x:v>
      </x:c>
    </x:row>
    <x:row r="943">
      <x:c r="A943" s="15" t="str">
        <x:v>ITEM00394_2</x:v>
      </x:c>
      <x:c r="B943" s="15" t="str">
        <x:v>ORD00394</x:v>
      </x:c>
      <x:c r="C943" s="15" t="str">
        <x:v>PROD003</x:v>
      </x:c>
      <x:c r="D943" s="15" t="n">
        <x:v>5</x:v>
      </x:c>
      <x:c r="E943" s="15" t="n">
        <x:v>10757.89</x:v>
      </x:c>
      <x:c r="F943" s="15" t="n">
        <x:v>0.15</x:v>
      </x:c>
      <x:c r="G943" s="15" t="n">
        <x:v>53789.45</x:v>
      </x:c>
      <x:c r="H943" s="15" t="n">
        <x:v>45721.03</x:v>
      </x:c>
      <x:c r="I943" s="15" t="n">
        <x:v>37105</x:v>
      </x:c>
      <x:c r="J943" s="15" t="n">
        <x:v>8616.03</x:v>
      </x:c>
      <x:c r="K943" t="str">
        <x:f>XLOOKUP(B943,Orders!A:A,Orders!E:E,"")</x:f>
        <x:v>North</x:v>
      </x:c>
      <x:c r="L943" t="n">
        <x:f>XLOOKUP(B943,Orders!A:A,Orders!B:B,"")</x:f>
        <x:v>45794</x:v>
      </x:c>
      <x:c r="M943" t="str">
        <x:f>XLOOKUP(C943,Products!A:A,Products!C:C,"")</x:f>
        <x:v>Accessories</x:v>
      </x:c>
    </x:row>
    <x:row r="944">
      <x:c r="A944" s="15" t="str">
        <x:v>ITEM00395_1</x:v>
      </x:c>
      <x:c r="B944" s="15" t="str">
        <x:v>ORD00395</x:v>
      </x:c>
      <x:c r="C944" s="15" t="str">
        <x:v>PROD021</x:v>
      </x:c>
      <x:c r="D944" s="15" t="n">
        <x:v>3</x:v>
      </x:c>
      <x:c r="E944" s="15" t="n">
        <x:v>6748.85</x:v>
      </x:c>
      <x:c r="F944" s="15" t="n">
        <x:v>0</x:v>
      </x:c>
      <x:c r="G944" s="15" t="n">
        <x:v>20246.55</x:v>
      </x:c>
      <x:c r="H944" s="15" t="n">
        <x:v>20246.55</x:v>
      </x:c>
      <x:c r="I944" s="15" t="n">
        <x:v>14997</x:v>
      </x:c>
      <x:c r="J944" s="15" t="n">
        <x:v>5249.55</x:v>
      </x:c>
      <x:c r="K944" t="str">
        <x:f>XLOOKUP(B944,Orders!A:A,Orders!E:E,"")</x:f>
        <x:v>West</x:v>
      </x:c>
      <x:c r="L944" t="n">
        <x:f>XLOOKUP(B944,Orders!A:A,Orders!B:B,"")</x:f>
        <x:v>46073</x:v>
      </x:c>
      <x:c r="M944" t="str">
        <x:f>XLOOKUP(C944,Products!A:A,Products!C:C,"")</x:f>
        <x:v>Electronics</x:v>
      </x:c>
    </x:row>
    <x:row r="945">
      <x:c r="A945" s="15" t="str">
        <x:v>ITEM00395_2</x:v>
      </x:c>
      <x:c r="B945" s="15" t="str">
        <x:v>ORD00395</x:v>
      </x:c>
      <x:c r="C945" s="15" t="str">
        <x:v>PROD030</x:v>
      </x:c>
      <x:c r="D945" s="15" t="n">
        <x:v>4</x:v>
      </x:c>
      <x:c r="E945" s="15" t="n">
        <x:v>5180.7</x:v>
      </x:c>
      <x:c r="F945" s="15" t="n">
        <x:v>0.05</x:v>
      </x:c>
      <x:c r="G945" s="15" t="n">
        <x:v>20722.8</x:v>
      </x:c>
      <x:c r="H945" s="15" t="n">
        <x:v>19686.66</x:v>
      </x:c>
      <x:c r="I945" s="15" t="n">
        <x:v>15552</x:v>
      </x:c>
      <x:c r="J945" s="15" t="n">
        <x:v>4134.66</x:v>
      </x:c>
      <x:c r="K945" t="str">
        <x:f>XLOOKUP(B945,Orders!A:A,Orders!E:E,"")</x:f>
        <x:v>West</x:v>
      </x:c>
      <x:c r="L945" t="n">
        <x:f>XLOOKUP(B945,Orders!A:A,Orders!B:B,"")</x:f>
        <x:v>46073</x:v>
      </x:c>
      <x:c r="M945" t="str">
        <x:f>XLOOKUP(C945,Products!A:A,Products!C:C,"")</x:f>
        <x:v>Office Supplies</x:v>
      </x:c>
    </x:row>
    <x:row r="946">
      <x:c r="A946" s="15" t="str">
        <x:v>ITEM00396_1</x:v>
      </x:c>
      <x:c r="B946" s="15" t="str">
        <x:v>ORD00396</x:v>
      </x:c>
      <x:c r="C946" s="15" t="str">
        <x:v>PROD022</x:v>
      </x:c>
      <x:c r="D946" s="15" t="n">
        <x:v>6</x:v>
      </x:c>
      <x:c r="E946" s="15" t="n">
        <x:v>7775.36</x:v>
      </x:c>
      <x:c r="F946" s="15" t="n">
        <x:v>0.15</x:v>
      </x:c>
      <x:c r="G946" s="15" t="n">
        <x:v>46652.16</x:v>
      </x:c>
      <x:c r="H946" s="15" t="n">
        <x:v>39654.34</x:v>
      </x:c>
      <x:c r="I946" s="15" t="n">
        <x:v>37986</x:v>
      </x:c>
      <x:c r="J946" s="15" t="n">
        <x:v>1668.34</x:v>
      </x:c>
      <x:c r="K946" t="str">
        <x:f>XLOOKUP(B946,Orders!A:A,Orders!E:E,"")</x:f>
        <x:v>West</x:v>
      </x:c>
      <x:c r="L946" t="n">
        <x:f>XLOOKUP(B946,Orders!A:A,Orders!B:B,"")</x:f>
        <x:v>45765</x:v>
      </x:c>
      <x:c r="M946" t="str">
        <x:f>XLOOKUP(C946,Products!A:A,Products!C:C,"")</x:f>
        <x:v>Furniture</x:v>
      </x:c>
    </x:row>
    <x:row r="947">
      <x:c r="A947" s="15" t="str">
        <x:v>ITEM00397_1</x:v>
      </x:c>
      <x:c r="B947" s="15" t="str">
        <x:v>ORD00397</x:v>
      </x:c>
      <x:c r="C947" s="15" t="str">
        <x:v>PROD026</x:v>
      </x:c>
      <x:c r="D947" s="15" t="n">
        <x:v>3</x:v>
      </x:c>
      <x:c r="E947" s="15" t="n">
        <x:v>3848.69</x:v>
      </x:c>
      <x:c r="F947" s="15" t="n">
        <x:v>0.15</x:v>
      </x:c>
      <x:c r="G947" s="15" t="n">
        <x:v>11546.07</x:v>
      </x:c>
      <x:c r="H947" s="15" t="n">
        <x:v>9814.16</x:v>
      </x:c>
      <x:c r="I947" s="15" t="n">
        <x:v>7902</x:v>
      </x:c>
      <x:c r="J947" s="15" t="n">
        <x:v>1912.16</x:v>
      </x:c>
      <x:c r="K947" t="str">
        <x:f>XLOOKUP(B947,Orders!A:A,Orders!E:E,"")</x:f>
        <x:v>East</x:v>
      </x:c>
      <x:c r="L947" t="n">
        <x:f>XLOOKUP(B947,Orders!A:A,Orders!B:B,"")</x:f>
        <x:v>45897</x:v>
      </x:c>
      <x:c r="M947" t="str">
        <x:f>XLOOKUP(C947,Products!A:A,Products!C:C,"")</x:f>
        <x:v>Accessories</x:v>
      </x:c>
    </x:row>
    <x:row r="948">
      <x:c r="A948" s="15" t="str">
        <x:v>ITEM00397_2</x:v>
      </x:c>
      <x:c r="B948" s="15" t="str">
        <x:v>ORD00397</x:v>
      </x:c>
      <x:c r="C948" s="15" t="str">
        <x:v>PROD026</x:v>
      </x:c>
      <x:c r="D948" s="15" t="n">
        <x:v>6</x:v>
      </x:c>
      <x:c r="E948" s="15" t="n">
        <x:v>3848.69</x:v>
      </x:c>
      <x:c r="F948" s="15" t="n">
        <x:v>0</x:v>
      </x:c>
      <x:c r="G948" s="15" t="n">
        <x:v>23092.14</x:v>
      </x:c>
      <x:c r="H948" s="15" t="n">
        <x:v>23092.14</x:v>
      </x:c>
      <x:c r="I948" s="15" t="n">
        <x:v>15804</x:v>
      </x:c>
      <x:c r="J948" s="15" t="n">
        <x:v>7288.14</x:v>
      </x:c>
      <x:c r="K948" t="str">
        <x:f>XLOOKUP(B948,Orders!A:A,Orders!E:E,"")</x:f>
        <x:v>East</x:v>
      </x:c>
      <x:c r="L948" t="n">
        <x:f>XLOOKUP(B948,Orders!A:A,Orders!B:B,"")</x:f>
        <x:v>45897</x:v>
      </x:c>
      <x:c r="M948" t="str">
        <x:f>XLOOKUP(C948,Products!A:A,Products!C:C,"")</x:f>
        <x:v>Accessories</x:v>
      </x:c>
    </x:row>
    <x:row r="949">
      <x:c r="A949" s="15" t="str">
        <x:v>ITEM00398_1</x:v>
      </x:c>
      <x:c r="B949" s="15" t="str">
        <x:v>ORD00398</x:v>
      </x:c>
      <x:c r="C949" s="15" t="str">
        <x:v>PROD020</x:v>
      </x:c>
      <x:c r="D949" s="15" t="n">
        <x:v>6</x:v>
      </x:c>
      <x:c r="E949" s="15" t="n">
        <x:v>6564.04</x:v>
      </x:c>
      <x:c r="F949" s="15" t="n">
        <x:v>0.15</x:v>
      </x:c>
      <x:c r="G949" s="15" t="n">
        <x:v>39384.24</x:v>
      </x:c>
      <x:c r="H949" s="15" t="n">
        <x:v>33476.6</x:v>
      </x:c>
      <x:c r="I949" s="15" t="n">
        <x:v>27510</x:v>
      </x:c>
      <x:c r="J949" s="15" t="n">
        <x:v>5966.6</x:v>
      </x:c>
      <x:c r="K949" t="str">
        <x:f>XLOOKUP(B949,Orders!A:A,Orders!E:E,"")</x:f>
        <x:v>East</x:v>
      </x:c>
      <x:c r="L949" t="n">
        <x:f>XLOOKUP(B949,Orders!A:A,Orders!B:B,"")</x:f>
        <x:v>46163</x:v>
      </x:c>
      <x:c r="M949" t="str">
        <x:f>XLOOKUP(C949,Products!A:A,Products!C:C,"")</x:f>
        <x:v>Accessories</x:v>
      </x:c>
    </x:row>
    <x:row r="950">
      <x:c r="A950" s="15" t="str">
        <x:v>ITEM00398_2</x:v>
      </x:c>
      <x:c r="B950" s="15" t="str">
        <x:v>ORD00398</x:v>
      </x:c>
      <x:c r="C950" s="15" t="str">
        <x:v>PROD010</x:v>
      </x:c>
      <x:c r="D950" s="15" t="n">
        <x:v>5</x:v>
      </x:c>
      <x:c r="E950" s="15" t="n">
        <x:v>8670.63</x:v>
      </x:c>
      <x:c r="F950" s="15" t="n">
        <x:v>0.1</x:v>
      </x:c>
      <x:c r="G950" s="15" t="n">
        <x:v>43353.15</x:v>
      </x:c>
      <x:c r="H950" s="15" t="n">
        <x:v>39017.83</x:v>
      </x:c>
      <x:c r="I950" s="15" t="n">
        <x:v>29265</x:v>
      </x:c>
      <x:c r="J950" s="15" t="n">
        <x:v>9752.83</x:v>
      </x:c>
      <x:c r="K950" t="str">
        <x:f>XLOOKUP(B950,Orders!A:A,Orders!E:E,"")</x:f>
        <x:v>East</x:v>
      </x:c>
      <x:c r="L950" t="n">
        <x:f>XLOOKUP(B950,Orders!A:A,Orders!B:B,"")</x:f>
        <x:v>46163</x:v>
      </x:c>
      <x:c r="M950" t="str">
        <x:f>XLOOKUP(C950,Products!A:A,Products!C:C,"")</x:f>
        <x:v>Accessories</x:v>
      </x:c>
    </x:row>
    <x:row r="951">
      <x:c r="A951" s="15" t="str">
        <x:v>ITEM00398_3</x:v>
      </x:c>
      <x:c r="B951" s="15" t="str">
        <x:v>ORD00398</x:v>
      </x:c>
      <x:c r="C951" s="15" t="str">
        <x:v>PROD011</x:v>
      </x:c>
      <x:c r="D951" s="15" t="n">
        <x:v>8</x:v>
      </x:c>
      <x:c r="E951" s="15" t="n">
        <x:v>7135.27</x:v>
      </x:c>
      <x:c r="F951" s="15" t="n">
        <x:v>0.1</x:v>
      </x:c>
      <x:c r="G951" s="15" t="n">
        <x:v>57082.16</x:v>
      </x:c>
      <x:c r="H951" s="15" t="n">
        <x:v>51373.94</x:v>
      </x:c>
      <x:c r="I951" s="15" t="n">
        <x:v>41624</x:v>
      </x:c>
      <x:c r="J951" s="15" t="n">
        <x:v>9749.94</x:v>
      </x:c>
      <x:c r="K951" t="str">
        <x:f>XLOOKUP(B951,Orders!A:A,Orders!E:E,"")</x:f>
        <x:v>East</x:v>
      </x:c>
      <x:c r="L951" t="n">
        <x:f>XLOOKUP(B951,Orders!A:A,Orders!B:B,"")</x:f>
        <x:v>46163</x:v>
      </x:c>
      <x:c r="M951" t="str">
        <x:f>XLOOKUP(C951,Products!A:A,Products!C:C,"")</x:f>
        <x:v>Accessories</x:v>
      </x:c>
    </x:row>
    <x:row r="952">
      <x:c r="A952" s="15" t="str">
        <x:v>ITEM00398_4</x:v>
      </x:c>
      <x:c r="B952" s="15" t="str">
        <x:v>ORD00398</x:v>
      </x:c>
      <x:c r="C952" s="15" t="str">
        <x:v>PROD035</x:v>
      </x:c>
      <x:c r="D952" s="15" t="n">
        <x:v>8</x:v>
      </x:c>
      <x:c r="E952" s="15" t="n">
        <x:v>3972.26</x:v>
      </x:c>
      <x:c r="F952" s="15" t="n">
        <x:v>0.15</x:v>
      </x:c>
      <x:c r="G952" s="15" t="n">
        <x:v>31778.08</x:v>
      </x:c>
      <x:c r="H952" s="15" t="n">
        <x:v>27011.37</x:v>
      </x:c>
      <x:c r="I952" s="15" t="n">
        <x:v>25496</x:v>
      </x:c>
      <x:c r="J952" s="15" t="n">
        <x:v>1515.37</x:v>
      </x:c>
      <x:c r="K952" t="str">
        <x:f>XLOOKUP(B952,Orders!A:A,Orders!E:E,"")</x:f>
        <x:v>East</x:v>
      </x:c>
      <x:c r="L952" t="n">
        <x:f>XLOOKUP(B952,Orders!A:A,Orders!B:B,"")</x:f>
        <x:v>46163</x:v>
      </x:c>
      <x:c r="M952" t="str">
        <x:f>XLOOKUP(C952,Products!A:A,Products!C:C,"")</x:f>
        <x:v>Electronics</x:v>
      </x:c>
    </x:row>
    <x:row r="953">
      <x:c r="A953" s="15" t="str">
        <x:v>ITEM00399_1</x:v>
      </x:c>
      <x:c r="B953" s="15" t="str">
        <x:v>ORD00399</x:v>
      </x:c>
      <x:c r="C953" s="15" t="str">
        <x:v>PROD009</x:v>
      </x:c>
      <x:c r="D953" s="15" t="n">
        <x:v>7</x:v>
      </x:c>
      <x:c r="E953" s="15" t="n">
        <x:v>4722.96</x:v>
      </x:c>
      <x:c r="F953" s="15" t="n">
        <x:v>0.1</x:v>
      </x:c>
      <x:c r="G953" s="15" t="n">
        <x:v>33060.72</x:v>
      </x:c>
      <x:c r="H953" s="15" t="n">
        <x:v>29754.65</x:v>
      </x:c>
      <x:c r="I953" s="15" t="n">
        <x:v>22491</x:v>
      </x:c>
      <x:c r="J953" s="15" t="n">
        <x:v>7263.65</x:v>
      </x:c>
      <x:c r="K953" t="str">
        <x:f>XLOOKUP(B953,Orders!A:A,Orders!E:E,"")</x:f>
        <x:v>South</x:v>
      </x:c>
      <x:c r="L953" t="n">
        <x:f>XLOOKUP(B953,Orders!A:A,Orders!B:B,"")</x:f>
        <x:v>45968</x:v>
      </x:c>
      <x:c r="M953" t="str">
        <x:f>XLOOKUP(C953,Products!A:A,Products!C:C,"")</x:f>
        <x:v>Accessories</x:v>
      </x:c>
    </x:row>
    <x:row r="954">
      <x:c r="A954" s="15" t="str">
        <x:v>ITEM00399_2</x:v>
      </x:c>
      <x:c r="B954" s="15" t="str">
        <x:v>ORD00399</x:v>
      </x:c>
      <x:c r="C954" s="15" t="str">
        <x:v>PROD030</x:v>
      </x:c>
      <x:c r="D954" s="15" t="n">
        <x:v>5</x:v>
      </x:c>
      <x:c r="E954" s="15" t="n">
        <x:v>5180.7</x:v>
      </x:c>
      <x:c r="F954" s="15" t="n">
        <x:v>0.1</x:v>
      </x:c>
      <x:c r="G954" s="15" t="n">
        <x:v>25903.5</x:v>
      </x:c>
      <x:c r="H954" s="15" t="n">
        <x:v>23313.15</x:v>
      </x:c>
      <x:c r="I954" s="15" t="n">
        <x:v>19440</x:v>
      </x:c>
      <x:c r="J954" s="15" t="n">
        <x:v>3873.15</x:v>
      </x:c>
      <x:c r="K954" t="str">
        <x:f>XLOOKUP(B954,Orders!A:A,Orders!E:E,"")</x:f>
        <x:v>South</x:v>
      </x:c>
      <x:c r="L954" t="n">
        <x:f>XLOOKUP(B954,Orders!A:A,Orders!B:B,"")</x:f>
        <x:v>45968</x:v>
      </x:c>
      <x:c r="M954" t="str">
        <x:f>XLOOKUP(C954,Products!A:A,Products!C:C,"")</x:f>
        <x:v>Office Supplies</x:v>
      </x:c>
    </x:row>
    <x:row r="955">
      <x:c r="A955" s="15" t="str">
        <x:v>ITEM00399_3</x:v>
      </x:c>
      <x:c r="B955" s="15" t="str">
        <x:v>ORD00399</x:v>
      </x:c>
      <x:c r="C955" s="15" t="str">
        <x:v>PROD009</x:v>
      </x:c>
      <x:c r="D955" s="15" t="n">
        <x:v>2</x:v>
      </x:c>
      <x:c r="E955" s="15" t="n">
        <x:v>4722.96</x:v>
      </x:c>
      <x:c r="F955" s="15" t="n">
        <x:v>0.05</x:v>
      </x:c>
      <x:c r="G955" s="15" t="n">
        <x:v>9445.92</x:v>
      </x:c>
      <x:c r="H955" s="15" t="n">
        <x:v>8973.62</x:v>
      </x:c>
      <x:c r="I955" s="15" t="n">
        <x:v>6426</x:v>
      </x:c>
      <x:c r="J955" s="15" t="n">
        <x:v>2547.62</x:v>
      </x:c>
      <x:c r="K955" t="str">
        <x:f>XLOOKUP(B955,Orders!A:A,Orders!E:E,"")</x:f>
        <x:v>South</x:v>
      </x:c>
      <x:c r="L955" t="n">
        <x:f>XLOOKUP(B955,Orders!A:A,Orders!B:B,"")</x:f>
        <x:v>45968</x:v>
      </x:c>
      <x:c r="M955" t="str">
        <x:f>XLOOKUP(C955,Products!A:A,Products!C:C,"")</x:f>
        <x:v>Accessories</x:v>
      </x:c>
    </x:row>
    <x:row r="956">
      <x:c r="A956" s="15" t="str">
        <x:v>ITEM00400_1</x:v>
      </x:c>
      <x:c r="B956" s="15" t="str">
        <x:v>ORD00400</x:v>
      </x:c>
      <x:c r="C956" s="15" t="str">
        <x:v>PROD006</x:v>
      </x:c>
      <x:c r="D956" s="15" t="n">
        <x:v>2</x:v>
      </x:c>
      <x:c r="E956" s="15" t="n">
        <x:v>4261.26</x:v>
      </x:c>
      <x:c r="F956" s="15" t="n">
        <x:v>0.15</x:v>
      </x:c>
      <x:c r="G956" s="15" t="n">
        <x:v>8522.52</x:v>
      </x:c>
      <x:c r="H956" s="15" t="n">
        <x:v>7244.14</x:v>
      </x:c>
      <x:c r="I956" s="15" t="n">
        <x:v>6134</x:v>
      </x:c>
      <x:c r="J956" s="15" t="n">
        <x:v>1110.14</x:v>
      </x:c>
      <x:c r="K956" t="str">
        <x:f>XLOOKUP(B956,Orders!A:A,Orders!E:E,"")</x:f>
        <x:v>North</x:v>
      </x:c>
      <x:c r="L956" t="n">
        <x:f>XLOOKUP(B956,Orders!A:A,Orders!B:B,"")</x:f>
        <x:v>46018</x:v>
      </x:c>
      <x:c r="M956" t="str">
        <x:f>XLOOKUP(C956,Products!A:A,Products!C:C,"")</x:f>
        <x:v>Office Supplies</x:v>
      </x:c>
    </x:row>
    <x:row r="957">
      <x:c r="A957" s="15" t="str">
        <x:v>ITEM00400_2</x:v>
      </x:c>
      <x:c r="B957" s="15" t="str">
        <x:v>ORD00400</x:v>
      </x:c>
      <x:c r="C957" s="15" t="str">
        <x:v>PROD023</x:v>
      </x:c>
      <x:c r="D957" s="15" t="n">
        <x:v>3</x:v>
      </x:c>
      <x:c r="E957" s="15" t="n">
        <x:v>5153.56</x:v>
      </x:c>
      <x:c r="F957" s="15" t="n">
        <x:v>0</x:v>
      </x:c>
      <x:c r="G957" s="15" t="n">
        <x:v>15460.68</x:v>
      </x:c>
      <x:c r="H957" s="15" t="n">
        <x:v>15460.68</x:v>
      </x:c>
      <x:c r="I957" s="15" t="n">
        <x:v>11874</x:v>
      </x:c>
      <x:c r="J957" s="15" t="n">
        <x:v>3586.68</x:v>
      </x:c>
      <x:c r="K957" t="str">
        <x:f>XLOOKUP(B957,Orders!A:A,Orders!E:E,"")</x:f>
        <x:v>North</x:v>
      </x:c>
      <x:c r="L957" t="n">
        <x:f>XLOOKUP(B957,Orders!A:A,Orders!B:B,"")</x:f>
        <x:v>46018</x:v>
      </x:c>
      <x:c r="M957" t="str">
        <x:f>XLOOKUP(C957,Products!A:A,Products!C:C,"")</x:f>
        <x:v>Electronics</x:v>
      </x:c>
    </x:row>
    <x:row r="958">
      <x:c r="A958" s="15" t="str">
        <x:v>ITEM00400_3</x:v>
      </x:c>
      <x:c r="B958" s="15" t="str">
        <x:v>ORD00400</x:v>
      </x:c>
      <x:c r="C958" s="15" t="str">
        <x:v>PROD039</x:v>
      </x:c>
      <x:c r="D958" s="15" t="n">
        <x:v>6</x:v>
      </x:c>
      <x:c r="E958" s="15" t="n">
        <x:v>5945.62</x:v>
      </x:c>
      <x:c r="F958" s="15" t="n">
        <x:v>0.15</x:v>
      </x:c>
      <x:c r="G958" s="15" t="n">
        <x:v>35673.72</x:v>
      </x:c>
      <x:c r="H958" s="15" t="n">
        <x:v>30322.66</x:v>
      </x:c>
      <x:c r="I958" s="15" t="n">
        <x:v>27438</x:v>
      </x:c>
      <x:c r="J958" s="15" t="n">
        <x:v>2884.66</x:v>
      </x:c>
      <x:c r="K958" t="str">
        <x:f>XLOOKUP(B958,Orders!A:A,Orders!E:E,"")</x:f>
        <x:v>North</x:v>
      </x:c>
      <x:c r="L958" t="n">
        <x:f>XLOOKUP(B958,Orders!A:A,Orders!B:B,"")</x:f>
        <x:v>46018</x:v>
      </x:c>
      <x:c r="M958" t="str">
        <x:f>XLOOKUP(C958,Products!A:A,Products!C:C,"")</x:f>
        <x:v>Office Supplies</x:v>
      </x:c>
    </x:row>
    <x:row r="959">
      <x:c r="A959" s="15" t="str">
        <x:v>ITEM00401_1</x:v>
      </x:c>
      <x:c r="B959" s="15" t="str">
        <x:v>ORD00401</x:v>
      </x:c>
      <x:c r="C959" s="15" t="str">
        <x:v>PROD015</x:v>
      </x:c>
      <x:c r="D959" s="15" t="n">
        <x:v>4</x:v>
      </x:c>
      <x:c r="E959" s="15" t="n">
        <x:v>5903.1</x:v>
      </x:c>
      <x:c r="F959" s="15" t="n">
        <x:v>0</x:v>
      </x:c>
      <x:c r="G959" s="15" t="n">
        <x:v>23612.4</x:v>
      </x:c>
      <x:c r="H959" s="15" t="n">
        <x:v>23612.4</x:v>
      </x:c>
      <x:c r="I959" s="15" t="n">
        <x:v>19140</x:v>
      </x:c>
      <x:c r="J959" s="15" t="n">
        <x:v>4472.4</x:v>
      </x:c>
      <x:c r="K959" t="str">
        <x:f>XLOOKUP(B959,Orders!A:A,Orders!E:E,"")</x:f>
        <x:v>North</x:v>
      </x:c>
      <x:c r="L959" t="n">
        <x:f>XLOOKUP(B959,Orders!A:A,Orders!B:B,"")</x:f>
        <x:v>45840</x:v>
      </x:c>
      <x:c r="M959" t="str">
        <x:f>XLOOKUP(C959,Products!A:A,Products!C:C,"")</x:f>
        <x:v>Electronics</x:v>
      </x:c>
    </x:row>
    <x:row r="960">
      <x:c r="A960" s="15" t="str">
        <x:v>ITEM00401_2</x:v>
      </x:c>
      <x:c r="B960" s="15" t="str">
        <x:v>ORD00401</x:v>
      </x:c>
      <x:c r="C960" s="15" t="str">
        <x:v>PROD025</x:v>
      </x:c>
      <x:c r="D960" s="15" t="n">
        <x:v>6</x:v>
      </x:c>
      <x:c r="E960" s="15" t="n">
        <x:v>1148.84</x:v>
      </x:c>
      <x:c r="F960" s="15" t="n">
        <x:v>0.05</x:v>
      </x:c>
      <x:c r="G960" s="15" t="n">
        <x:v>6893.04</x:v>
      </x:c>
      <x:c r="H960" s="15" t="n">
        <x:v>6548.39</x:v>
      </x:c>
      <x:c r="I960" s="15" t="n">
        <x:v>5268</x:v>
      </x:c>
      <x:c r="J960" s="15" t="n">
        <x:v>1280.39</x:v>
      </x:c>
      <x:c r="K960" t="str">
        <x:f>XLOOKUP(B960,Orders!A:A,Orders!E:E,"")</x:f>
        <x:v>North</x:v>
      </x:c>
      <x:c r="L960" t="n">
        <x:f>XLOOKUP(B960,Orders!A:A,Orders!B:B,"")</x:f>
        <x:v>45840</x:v>
      </x:c>
      <x:c r="M960" t="str">
        <x:f>XLOOKUP(C960,Products!A:A,Products!C:C,"")</x:f>
        <x:v>Furniture</x:v>
      </x:c>
    </x:row>
    <x:row r="961">
      <x:c r="A961" s="15" t="str">
        <x:v>ITEM00401_3</x:v>
      </x:c>
      <x:c r="B961" s="15" t="str">
        <x:v>ORD00401</x:v>
      </x:c>
      <x:c r="C961" s="15" t="str">
        <x:v>PROD020</x:v>
      </x:c>
      <x:c r="D961" s="15" t="n">
        <x:v>6</x:v>
      </x:c>
      <x:c r="E961" s="15" t="n">
        <x:v>6564.04</x:v>
      </x:c>
      <x:c r="F961" s="15" t="n">
        <x:v>0.15</x:v>
      </x:c>
      <x:c r="G961" s="15" t="n">
        <x:v>39384.24</x:v>
      </x:c>
      <x:c r="H961" s="15" t="n">
        <x:v>33476.6</x:v>
      </x:c>
      <x:c r="I961" s="15" t="n">
        <x:v>27510</x:v>
      </x:c>
      <x:c r="J961" s="15" t="n">
        <x:v>5966.6</x:v>
      </x:c>
      <x:c r="K961" t="str">
        <x:f>XLOOKUP(B961,Orders!A:A,Orders!E:E,"")</x:f>
        <x:v>North</x:v>
      </x:c>
      <x:c r="L961" t="n">
        <x:f>XLOOKUP(B961,Orders!A:A,Orders!B:B,"")</x:f>
        <x:v>45840</x:v>
      </x:c>
      <x:c r="M961" t="str">
        <x:f>XLOOKUP(C961,Products!A:A,Products!C:C,"")</x:f>
        <x:v>Accessories</x:v>
      </x:c>
    </x:row>
    <x:row r="962">
      <x:c r="A962" s="15" t="str">
        <x:v>ITEM00401_4</x:v>
      </x:c>
      <x:c r="B962" s="15" t="str">
        <x:v>ORD00401</x:v>
      </x:c>
      <x:c r="C962" s="15" t="str">
        <x:v>PROD026</x:v>
      </x:c>
      <x:c r="D962" s="15" t="n">
        <x:v>5</x:v>
      </x:c>
      <x:c r="E962" s="15" t="n">
        <x:v>3848.69</x:v>
      </x:c>
      <x:c r="F962" s="15" t="n">
        <x:v>0.15</x:v>
      </x:c>
      <x:c r="G962" s="15" t="n">
        <x:v>19243.45</x:v>
      </x:c>
      <x:c r="H962" s="15" t="n">
        <x:v>16356.93</x:v>
      </x:c>
      <x:c r="I962" s="15" t="n">
        <x:v>13170</x:v>
      </x:c>
      <x:c r="J962" s="15" t="n">
        <x:v>3186.93</x:v>
      </x:c>
      <x:c r="K962" t="str">
        <x:f>XLOOKUP(B962,Orders!A:A,Orders!E:E,"")</x:f>
        <x:v>North</x:v>
      </x:c>
      <x:c r="L962" t="n">
        <x:f>XLOOKUP(B962,Orders!A:A,Orders!B:B,"")</x:f>
        <x:v>45840</x:v>
      </x:c>
      <x:c r="M962" t="str">
        <x:f>XLOOKUP(C962,Products!A:A,Products!C:C,"")</x:f>
        <x:v>Accessories</x:v>
      </x:c>
    </x:row>
    <x:row r="963">
      <x:c r="A963" s="15" t="str">
        <x:v>ITEM00402_1</x:v>
      </x:c>
      <x:c r="B963" s="15" t="str">
        <x:v>ORD00402</x:v>
      </x:c>
      <x:c r="C963" s="15" t="str">
        <x:v>PROD011</x:v>
      </x:c>
      <x:c r="D963" s="15" t="n">
        <x:v>4</x:v>
      </x:c>
      <x:c r="E963" s="15" t="n">
        <x:v>7135.27</x:v>
      </x:c>
      <x:c r="F963" s="15" t="n">
        <x:v>0.05</x:v>
      </x:c>
      <x:c r="G963" s="15" t="n">
        <x:v>28541.08</x:v>
      </x:c>
      <x:c r="H963" s="15" t="n">
        <x:v>27114.03</x:v>
      </x:c>
      <x:c r="I963" s="15" t="n">
        <x:v>20812</x:v>
      </x:c>
      <x:c r="J963" s="15" t="n">
        <x:v>6302.03</x:v>
      </x:c>
      <x:c r="K963" t="str">
        <x:f>XLOOKUP(B963,Orders!A:A,Orders!E:E,"")</x:f>
        <x:v>South</x:v>
      </x:c>
      <x:c r="L963" t="n">
        <x:f>XLOOKUP(B963,Orders!A:A,Orders!B:B,"")</x:f>
        <x:v>46180</x:v>
      </x:c>
      <x:c r="M963" t="str">
        <x:f>XLOOKUP(C963,Products!A:A,Products!C:C,"")</x:f>
        <x:v>Accessories</x:v>
      </x:c>
    </x:row>
    <x:row r="964">
      <x:c r="A964" s="15" t="str">
        <x:v>ITEM00402_2</x:v>
      </x:c>
      <x:c r="B964" s="15" t="str">
        <x:v>ORD00402</x:v>
      </x:c>
      <x:c r="C964" s="15" t="str">
        <x:v>PROD008</x:v>
      </x:c>
      <x:c r="D964" s="15" t="n">
        <x:v>6</x:v>
      </x:c>
      <x:c r="E964" s="15" t="n">
        <x:v>8534.48</x:v>
      </x:c>
      <x:c r="F964" s="15" t="n">
        <x:v>0.05</x:v>
      </x:c>
      <x:c r="G964" s="15" t="n">
        <x:v>51206.88</x:v>
      </x:c>
      <x:c r="H964" s="15" t="n">
        <x:v>48646.54</x:v>
      </x:c>
      <x:c r="I964" s="15" t="n">
        <x:v>37182</x:v>
      </x:c>
      <x:c r="J964" s="15" t="n">
        <x:v>11464.54</x:v>
      </x:c>
      <x:c r="K964" t="str">
        <x:f>XLOOKUP(B964,Orders!A:A,Orders!E:E,"")</x:f>
        <x:v>South</x:v>
      </x:c>
      <x:c r="L964" t="n">
        <x:f>XLOOKUP(B964,Orders!A:A,Orders!B:B,"")</x:f>
        <x:v>46180</x:v>
      </x:c>
      <x:c r="M964" t="str">
        <x:f>XLOOKUP(C964,Products!A:A,Products!C:C,"")</x:f>
        <x:v>Office Supplies</x:v>
      </x:c>
    </x:row>
    <x:row r="965">
      <x:c r="A965" s="15" t="str">
        <x:v>ITEM00402_3</x:v>
      </x:c>
      <x:c r="B965" s="15" t="str">
        <x:v>ORD00402</x:v>
      </x:c>
      <x:c r="C965" s="15" t="str">
        <x:v>PROD027</x:v>
      </x:c>
      <x:c r="D965" s="15" t="n">
        <x:v>7</x:v>
      </x:c>
      <x:c r="E965" s="15" t="n">
        <x:v>6979.71</x:v>
      </x:c>
      <x:c r="F965" s="15" t="n">
        <x:v>0.05</x:v>
      </x:c>
      <x:c r="G965" s="15" t="n">
        <x:v>48857.97</x:v>
      </x:c>
      <x:c r="H965" s="15" t="n">
        <x:v>46415.07</x:v>
      </x:c>
      <x:c r="I965" s="15" t="n">
        <x:v>39459</x:v>
      </x:c>
      <x:c r="J965" s="15" t="n">
        <x:v>6956.07</x:v>
      </x:c>
      <x:c r="K965" t="str">
        <x:f>XLOOKUP(B965,Orders!A:A,Orders!E:E,"")</x:f>
        <x:v>South</x:v>
      </x:c>
      <x:c r="L965" t="n">
        <x:f>XLOOKUP(B965,Orders!A:A,Orders!B:B,"")</x:f>
        <x:v>46180</x:v>
      </x:c>
      <x:c r="M965" t="str">
        <x:f>XLOOKUP(C965,Products!A:A,Products!C:C,"")</x:f>
        <x:v>Electronics</x:v>
      </x:c>
    </x:row>
    <x:row r="966">
      <x:c r="A966" s="15" t="str">
        <x:v>ITEM00402_4</x:v>
      </x:c>
      <x:c r="B966" s="15" t="str">
        <x:v>ORD00402</x:v>
      </x:c>
      <x:c r="C966" s="15" t="str">
        <x:v>PROD011</x:v>
      </x:c>
      <x:c r="D966" s="15" t="n">
        <x:v>3</x:v>
      </x:c>
      <x:c r="E966" s="15" t="n">
        <x:v>7135.27</x:v>
      </x:c>
      <x:c r="F966" s="15" t="n">
        <x:v>0</x:v>
      </x:c>
      <x:c r="G966" s="15" t="n">
        <x:v>21405.81</x:v>
      </x:c>
      <x:c r="H966" s="15" t="n">
        <x:v>21405.81</x:v>
      </x:c>
      <x:c r="I966" s="15" t="n">
        <x:v>15609</x:v>
      </x:c>
      <x:c r="J966" s="15" t="n">
        <x:v>5796.81</x:v>
      </x:c>
      <x:c r="K966" t="str">
        <x:f>XLOOKUP(B966,Orders!A:A,Orders!E:E,"")</x:f>
        <x:v>South</x:v>
      </x:c>
      <x:c r="L966" t="n">
        <x:f>XLOOKUP(B966,Orders!A:A,Orders!B:B,"")</x:f>
        <x:v>46180</x:v>
      </x:c>
      <x:c r="M966" t="str">
        <x:f>XLOOKUP(C966,Products!A:A,Products!C:C,"")</x:f>
        <x:v>Accessories</x:v>
      </x:c>
    </x:row>
    <x:row r="967">
      <x:c r="A967" s="15" t="str">
        <x:v>ITEM00403_1</x:v>
      </x:c>
      <x:c r="B967" s="15" t="str">
        <x:v>ORD00403</x:v>
      </x:c>
      <x:c r="C967" s="15" t="str">
        <x:v>PROD012</x:v>
      </x:c>
      <x:c r="D967" s="15" t="n">
        <x:v>3</x:v>
      </x:c>
      <x:c r="E967" s="15" t="n">
        <x:v>7989.38</x:v>
      </x:c>
      <x:c r="F967" s="15" t="n">
        <x:v>0.1</x:v>
      </x:c>
      <x:c r="G967" s="15" t="n">
        <x:v>23968.14</x:v>
      </x:c>
      <x:c r="H967" s="15" t="n">
        <x:v>21571.33</x:v>
      </x:c>
      <x:c r="I967" s="15" t="n">
        <x:v>19455</x:v>
      </x:c>
      <x:c r="J967" s="15" t="n">
        <x:v>2116.33</x:v>
      </x:c>
      <x:c r="K967" t="str">
        <x:f>XLOOKUP(B967,Orders!A:A,Orders!E:E,"")</x:f>
        <x:v>East</x:v>
      </x:c>
      <x:c r="L967" t="n">
        <x:f>XLOOKUP(B967,Orders!A:A,Orders!B:B,"")</x:f>
        <x:v>45893</x:v>
      </x:c>
      <x:c r="M967" t="str">
        <x:f>XLOOKUP(C967,Products!A:A,Products!C:C,"")</x:f>
        <x:v>Electronics</x:v>
      </x:c>
    </x:row>
    <x:row r="968">
      <x:c r="A968" s="15" t="str">
        <x:v>ITEM00403_2</x:v>
      </x:c>
      <x:c r="B968" s="15" t="str">
        <x:v>ORD00403</x:v>
      </x:c>
      <x:c r="C968" s="15" t="str">
        <x:v>PROD038</x:v>
      </x:c>
      <x:c r="D968" s="15" t="n">
        <x:v>1</x:v>
      </x:c>
      <x:c r="E968" s="15" t="n">
        <x:v>5219.7</x:v>
      </x:c>
      <x:c r="F968" s="15" t="n">
        <x:v>0</x:v>
      </x:c>
      <x:c r="G968" s="15" t="n">
        <x:v>5219.7</x:v>
      </x:c>
      <x:c r="H968" s="15" t="n">
        <x:v>5219.7</x:v>
      </x:c>
      <x:c r="I968" s="15" t="n">
        <x:v>3936</x:v>
      </x:c>
      <x:c r="J968" s="15" t="n">
        <x:v>1283.7</x:v>
      </x:c>
      <x:c r="K968" t="str">
        <x:f>XLOOKUP(B968,Orders!A:A,Orders!E:E,"")</x:f>
        <x:v>East</x:v>
      </x:c>
      <x:c r="L968" t="n">
        <x:f>XLOOKUP(B968,Orders!A:A,Orders!B:B,"")</x:f>
        <x:v>45893</x:v>
      </x:c>
      <x:c r="M968" t="str">
        <x:f>XLOOKUP(C968,Products!A:A,Products!C:C,"")</x:f>
        <x:v>Office Supplies</x:v>
      </x:c>
    </x:row>
    <x:row r="969">
      <x:c r="A969" s="15" t="str">
        <x:v>ITEM00403_3</x:v>
      </x:c>
      <x:c r="B969" s="15" t="str">
        <x:v>ORD00403</x:v>
      </x:c>
      <x:c r="C969" s="15" t="str">
        <x:v>PROD022</x:v>
      </x:c>
      <x:c r="D969" s="15" t="n">
        <x:v>8</x:v>
      </x:c>
      <x:c r="E969" s="15" t="n">
        <x:v>7775.36</x:v>
      </x:c>
      <x:c r="F969" s="15" t="n">
        <x:v>0.15</x:v>
      </x:c>
      <x:c r="G969" s="15" t="n">
        <x:v>62202.88</x:v>
      </x:c>
      <x:c r="H969" s="15" t="n">
        <x:v>52872.45</x:v>
      </x:c>
      <x:c r="I969" s="15" t="n">
        <x:v>50648</x:v>
      </x:c>
      <x:c r="J969" s="15" t="n">
        <x:v>2224.45</x:v>
      </x:c>
      <x:c r="K969" t="str">
        <x:f>XLOOKUP(B969,Orders!A:A,Orders!E:E,"")</x:f>
        <x:v>East</x:v>
      </x:c>
      <x:c r="L969" t="n">
        <x:f>XLOOKUP(B969,Orders!A:A,Orders!B:B,"")</x:f>
        <x:v>45893</x:v>
      </x:c>
      <x:c r="M969" t="str">
        <x:f>XLOOKUP(C969,Products!A:A,Products!C:C,"")</x:f>
        <x:v>Furniture</x:v>
      </x:c>
    </x:row>
    <x:row r="970">
      <x:c r="A970" s="15" t="str">
        <x:v>ITEM00404_1</x:v>
      </x:c>
      <x:c r="B970" s="15" t="str">
        <x:v>ORD00404</x:v>
      </x:c>
      <x:c r="C970" s="15" t="str">
        <x:v>PROD012</x:v>
      </x:c>
      <x:c r="D970" s="15" t="n">
        <x:v>2</x:v>
      </x:c>
      <x:c r="E970" s="15" t="n">
        <x:v>7989.38</x:v>
      </x:c>
      <x:c r="F970" s="15" t="n">
        <x:v>0.15</x:v>
      </x:c>
      <x:c r="G970" s="15" t="n">
        <x:v>15978.76</x:v>
      </x:c>
      <x:c r="H970" s="15" t="n">
        <x:v>13581.95</x:v>
      </x:c>
      <x:c r="I970" s="15" t="n">
        <x:v>12970</x:v>
      </x:c>
      <x:c r="J970" s="15" t="n">
        <x:v>611.95</x:v>
      </x:c>
      <x:c r="K970" t="str">
        <x:f>XLOOKUP(B970,Orders!A:A,Orders!E:E,"")</x:f>
        <x:v>South</x:v>
      </x:c>
      <x:c r="L970" t="n">
        <x:f>XLOOKUP(B970,Orders!A:A,Orders!B:B,"")</x:f>
        <x:v>45994</x:v>
      </x:c>
      <x:c r="M970" t="str">
        <x:f>XLOOKUP(C970,Products!A:A,Products!C:C,"")</x:f>
        <x:v>Electronics</x:v>
      </x:c>
    </x:row>
    <x:row r="971">
      <x:c r="A971" s="15" t="str">
        <x:v>ITEM00404_2</x:v>
      </x:c>
      <x:c r="B971" s="15" t="str">
        <x:v>ORD00404</x:v>
      </x:c>
      <x:c r="C971" s="15" t="str">
        <x:v>PROD024</x:v>
      </x:c>
      <x:c r="D971" s="15" t="n">
        <x:v>7</x:v>
      </x:c>
      <x:c r="E971" s="15" t="n">
        <x:v>4018</x:v>
      </x:c>
      <x:c r="F971" s="15" t="n">
        <x:v>0.1</x:v>
      </x:c>
      <x:c r="G971" s="15" t="n">
        <x:v>28126</x:v>
      </x:c>
      <x:c r="H971" s="15" t="n">
        <x:v>25313.4</x:v>
      </x:c>
      <x:c r="I971" s="15" t="n">
        <x:v>22344</x:v>
      </x:c>
      <x:c r="J971" s="15" t="n">
        <x:v>2969.4</x:v>
      </x:c>
      <x:c r="K971" t="str">
        <x:f>XLOOKUP(B971,Orders!A:A,Orders!E:E,"")</x:f>
        <x:v>South</x:v>
      </x:c>
      <x:c r="L971" t="n">
        <x:f>XLOOKUP(B971,Orders!A:A,Orders!B:B,"")</x:f>
        <x:v>45994</x:v>
      </x:c>
      <x:c r="M971" t="str">
        <x:f>XLOOKUP(C971,Products!A:A,Products!C:C,"")</x:f>
        <x:v>Furniture</x:v>
      </x:c>
    </x:row>
    <x:row r="972">
      <x:c r="A972" s="15" t="str">
        <x:v>ITEM00405_1</x:v>
      </x:c>
      <x:c r="B972" s="15" t="str">
        <x:v>ORD00405</x:v>
      </x:c>
      <x:c r="C972" s="15" t="str">
        <x:v>PROD006</x:v>
      </x:c>
      <x:c r="D972" s="15" t="n">
        <x:v>6</x:v>
      </x:c>
      <x:c r="E972" s="15" t="n">
        <x:v>4261.26</x:v>
      </x:c>
      <x:c r="F972" s="15" t="n">
        <x:v>0.05</x:v>
      </x:c>
      <x:c r="G972" s="15" t="n">
        <x:v>25567.56</x:v>
      </x:c>
      <x:c r="H972" s="15" t="n">
        <x:v>24289.18</x:v>
      </x:c>
      <x:c r="I972" s="15" t="n">
        <x:v>18402</x:v>
      </x:c>
      <x:c r="J972" s="15" t="n">
        <x:v>5887.18</x:v>
      </x:c>
      <x:c r="K972" t="str">
        <x:f>XLOOKUP(B972,Orders!A:A,Orders!E:E,"")</x:f>
        <x:v>East</x:v>
      </x:c>
      <x:c r="L972" t="n">
        <x:f>XLOOKUP(B972,Orders!A:A,Orders!B:B,"")</x:f>
        <x:v>45705</x:v>
      </x:c>
      <x:c r="M972" t="str">
        <x:f>XLOOKUP(C972,Products!A:A,Products!C:C,"")</x:f>
        <x:v>Office Supplies</x:v>
      </x:c>
    </x:row>
    <x:row r="973">
      <x:c r="A973" s="15" t="str">
        <x:v>ITEM00405_2</x:v>
      </x:c>
      <x:c r="B973" s="15" t="str">
        <x:v>ORD00405</x:v>
      </x:c>
      <x:c r="C973" s="15" t="str">
        <x:v>PROD022</x:v>
      </x:c>
      <x:c r="D973" s="15" t="n">
        <x:v>1</x:v>
      </x:c>
      <x:c r="E973" s="15" t="n">
        <x:v>7775.36</x:v>
      </x:c>
      <x:c r="F973" s="15" t="n">
        <x:v>0.15</x:v>
      </x:c>
      <x:c r="G973" s="15" t="n">
        <x:v>7775.36</x:v>
      </x:c>
      <x:c r="H973" s="15" t="n">
        <x:v>6609.06</x:v>
      </x:c>
      <x:c r="I973" s="15" t="n">
        <x:v>6331</x:v>
      </x:c>
      <x:c r="J973" s="15" t="n">
        <x:v>278.06</x:v>
      </x:c>
      <x:c r="K973" t="str">
        <x:f>XLOOKUP(B973,Orders!A:A,Orders!E:E,"")</x:f>
        <x:v>East</x:v>
      </x:c>
      <x:c r="L973" t="n">
        <x:f>XLOOKUP(B973,Orders!A:A,Orders!B:B,"")</x:f>
        <x:v>45705</x:v>
      </x:c>
      <x:c r="M973" t="str">
        <x:f>XLOOKUP(C973,Products!A:A,Products!C:C,"")</x:f>
        <x:v>Furniture</x:v>
      </x:c>
    </x:row>
    <x:row r="974">
      <x:c r="A974" s="15" t="str">
        <x:v>ITEM00406_1</x:v>
      </x:c>
      <x:c r="B974" s="15" t="str">
        <x:v>ORD00406</x:v>
      </x:c>
      <x:c r="C974" s="15" t="str">
        <x:v>PROD005</x:v>
      </x:c>
      <x:c r="D974" s="15" t="n">
        <x:v>2</x:v>
      </x:c>
      <x:c r="E974" s="15" t="n">
        <x:v>6453.62</x:v>
      </x:c>
      <x:c r="F974" s="15" t="n">
        <x:v>0.1</x:v>
      </x:c>
      <x:c r="G974" s="15" t="n">
        <x:v>12907.24</x:v>
      </x:c>
      <x:c r="H974" s="15" t="n">
        <x:v>11616.52</x:v>
      </x:c>
      <x:c r="I974" s="15" t="n">
        <x:v>9696</x:v>
      </x:c>
      <x:c r="J974" s="15" t="n">
        <x:v>1920.52</x:v>
      </x:c>
      <x:c r="K974" t="str">
        <x:f>XLOOKUP(B974,Orders!A:A,Orders!E:E,"")</x:f>
        <x:v>South</x:v>
      </x:c>
      <x:c r="L974" t="n">
        <x:f>XLOOKUP(B974,Orders!A:A,Orders!B:B,"")</x:f>
        <x:v>45793</x:v>
      </x:c>
      <x:c r="M974" t="str">
        <x:f>XLOOKUP(C974,Products!A:A,Products!C:C,"")</x:f>
        <x:v>Office Supplies</x:v>
      </x:c>
    </x:row>
    <x:row r="975">
      <x:c r="A975" s="15" t="str">
        <x:v>ITEM00407_1</x:v>
      </x:c>
      <x:c r="B975" s="15" t="str">
        <x:v>ORD00407</x:v>
      </x:c>
      <x:c r="C975" s="15" t="str">
        <x:v>PROD024</x:v>
      </x:c>
      <x:c r="D975" s="15" t="n">
        <x:v>2</x:v>
      </x:c>
      <x:c r="E975" s="15" t="n">
        <x:v>4018</x:v>
      </x:c>
      <x:c r="F975" s="15" t="n">
        <x:v>0.1</x:v>
      </x:c>
      <x:c r="G975" s="15" t="n">
        <x:v>8036</x:v>
      </x:c>
      <x:c r="H975" s="15" t="n">
        <x:v>7232.4</x:v>
      </x:c>
      <x:c r="I975" s="15" t="n">
        <x:v>6384</x:v>
      </x:c>
      <x:c r="J975" s="15" t="n">
        <x:v>848.4</x:v>
      </x:c>
      <x:c r="K975" t="str">
        <x:f>XLOOKUP(B975,Orders!A:A,Orders!E:E,"")</x:f>
        <x:v>West</x:v>
      </x:c>
      <x:c r="L975" t="n">
        <x:f>XLOOKUP(B975,Orders!A:A,Orders!B:B,"")</x:f>
        <x:v>45680</x:v>
      </x:c>
      <x:c r="M975" t="str">
        <x:f>XLOOKUP(C975,Products!A:A,Products!C:C,"")</x:f>
        <x:v>Furniture</x:v>
      </x:c>
    </x:row>
    <x:row r="976">
      <x:c r="A976" s="15" t="str">
        <x:v>ITEM00407_2</x:v>
      </x:c>
      <x:c r="B976" s="15" t="str">
        <x:v>ORD00407</x:v>
      </x:c>
      <x:c r="C976" s="15" t="str">
        <x:v>PROD033</x:v>
      </x:c>
      <x:c r="D976" s="15" t="n">
        <x:v>3</x:v>
      </x:c>
      <x:c r="E976" s="15" t="n">
        <x:v>3912.41</x:v>
      </x:c>
      <x:c r="F976" s="15" t="n">
        <x:v>0.05</x:v>
      </x:c>
      <x:c r="G976" s="15" t="n">
        <x:v>11737.23</x:v>
      </x:c>
      <x:c r="H976" s="15" t="n">
        <x:v>11150.37</x:v>
      </x:c>
      <x:c r="I976" s="15" t="n">
        <x:v>8973</x:v>
      </x:c>
      <x:c r="J976" s="15" t="n">
        <x:v>2177.37</x:v>
      </x:c>
      <x:c r="K976" t="str">
        <x:f>XLOOKUP(B976,Orders!A:A,Orders!E:E,"")</x:f>
        <x:v>West</x:v>
      </x:c>
      <x:c r="L976" t="n">
        <x:f>XLOOKUP(B976,Orders!A:A,Orders!B:B,"")</x:f>
        <x:v>45680</x:v>
      </x:c>
      <x:c r="M976" t="str">
        <x:f>XLOOKUP(C976,Products!A:A,Products!C:C,"")</x:f>
        <x:v>Furniture</x:v>
      </x:c>
    </x:row>
    <x:row r="977">
      <x:c r="A977" s="15" t="str">
        <x:v>ITEM00407_3</x:v>
      </x:c>
      <x:c r="B977" s="15" t="str">
        <x:v>ORD00407</x:v>
      </x:c>
      <x:c r="C977" s="15" t="str">
        <x:v>PROD033</x:v>
      </x:c>
      <x:c r="D977" s="15" t="n">
        <x:v>5</x:v>
      </x:c>
      <x:c r="E977" s="15" t="n">
        <x:v>3912.41</x:v>
      </x:c>
      <x:c r="F977" s="15" t="n">
        <x:v>0.15</x:v>
      </x:c>
      <x:c r="G977" s="15" t="n">
        <x:v>19562.05</x:v>
      </x:c>
      <x:c r="H977" s="15" t="n">
        <x:v>16627.74</x:v>
      </x:c>
      <x:c r="I977" s="15" t="n">
        <x:v>14955</x:v>
      </x:c>
      <x:c r="J977" s="15" t="n">
        <x:v>1672.74</x:v>
      </x:c>
      <x:c r="K977" t="str">
        <x:f>XLOOKUP(B977,Orders!A:A,Orders!E:E,"")</x:f>
        <x:v>West</x:v>
      </x:c>
      <x:c r="L977" t="n">
        <x:f>XLOOKUP(B977,Orders!A:A,Orders!B:B,"")</x:f>
        <x:v>45680</x:v>
      </x:c>
      <x:c r="M977" t="str">
        <x:f>XLOOKUP(C977,Products!A:A,Products!C:C,"")</x:f>
        <x:v>Furniture</x:v>
      </x:c>
    </x:row>
    <x:row r="978">
      <x:c r="A978" s="15" t="str">
        <x:v>ITEM00408_1</x:v>
      </x:c>
      <x:c r="B978" s="15" t="str">
        <x:v>ORD00408</x:v>
      </x:c>
      <x:c r="C978" s="15" t="str">
        <x:v>PROD027</x:v>
      </x:c>
      <x:c r="D978" s="15" t="n">
        <x:v>5</x:v>
      </x:c>
      <x:c r="E978" s="15" t="n">
        <x:v>6979.71</x:v>
      </x:c>
      <x:c r="F978" s="15" t="n">
        <x:v>0</x:v>
      </x:c>
      <x:c r="G978" s="15" t="n">
        <x:v>34898.55</x:v>
      </x:c>
      <x:c r="H978" s="15" t="n">
        <x:v>34898.55</x:v>
      </x:c>
      <x:c r="I978" s="15" t="n">
        <x:v>28185</x:v>
      </x:c>
      <x:c r="J978" s="15" t="n">
        <x:v>6713.55</x:v>
      </x:c>
      <x:c r="K978" t="str">
        <x:f>XLOOKUP(B978,Orders!A:A,Orders!E:E,"")</x:f>
        <x:v>West</x:v>
      </x:c>
      <x:c r="L978" t="n">
        <x:f>XLOOKUP(B978,Orders!A:A,Orders!B:B,"")</x:f>
        <x:v>46015</x:v>
      </x:c>
      <x:c r="M978" t="str">
        <x:f>XLOOKUP(C978,Products!A:A,Products!C:C,"")</x:f>
        <x:v>Electronics</x:v>
      </x:c>
    </x:row>
    <x:row r="979">
      <x:c r="A979" s="15" t="str">
        <x:v>ITEM00409_1</x:v>
      </x:c>
      <x:c r="B979" s="15" t="str">
        <x:v>ORD00409</x:v>
      </x:c>
      <x:c r="C979" s="15" t="str">
        <x:v>PROD016</x:v>
      </x:c>
      <x:c r="D979" s="15" t="n">
        <x:v>2</x:v>
      </x:c>
      <x:c r="E979" s="15" t="n">
        <x:v>3884.33</x:v>
      </x:c>
      <x:c r="F979" s="15" t="n">
        <x:v>0.1</x:v>
      </x:c>
      <x:c r="G979" s="15" t="n">
        <x:v>7768.66</x:v>
      </x:c>
      <x:c r="H979" s="15" t="n">
        <x:v>6991.79</x:v>
      </x:c>
      <x:c r="I979" s="15" t="n">
        <x:v>6094</x:v>
      </x:c>
      <x:c r="J979" s="15" t="n">
        <x:v>897.79</x:v>
      </x:c>
      <x:c r="K979" t="str">
        <x:f>XLOOKUP(B979,Orders!A:A,Orders!E:E,"")</x:f>
        <x:v>North</x:v>
      </x:c>
      <x:c r="L979" t="n">
        <x:f>XLOOKUP(B979,Orders!A:A,Orders!B:B,"")</x:f>
        <x:v>45997</x:v>
      </x:c>
      <x:c r="M979" t="str">
        <x:f>XLOOKUP(C979,Products!A:A,Products!C:C,"")</x:f>
        <x:v>Electronics</x:v>
      </x:c>
    </x:row>
    <x:row r="980">
      <x:c r="A980" s="15" t="str">
        <x:v>ITEM00410_1</x:v>
      </x:c>
      <x:c r="B980" s="15" t="str">
        <x:v>ORD00410</x:v>
      </x:c>
      <x:c r="C980" s="15" t="str">
        <x:v>PROD035</x:v>
      </x:c>
      <x:c r="D980" s="15" t="n">
        <x:v>6</x:v>
      </x:c>
      <x:c r="E980" s="15" t="n">
        <x:v>3972.26</x:v>
      </x:c>
      <x:c r="F980" s="15" t="n">
        <x:v>0.1</x:v>
      </x:c>
      <x:c r="G980" s="15" t="n">
        <x:v>23833.56</x:v>
      </x:c>
      <x:c r="H980" s="15" t="n">
        <x:v>21450.2</x:v>
      </x:c>
      <x:c r="I980" s="15" t="n">
        <x:v>19122</x:v>
      </x:c>
      <x:c r="J980" s="15" t="n">
        <x:v>2328.2</x:v>
      </x:c>
      <x:c r="K980" t="str">
        <x:f>XLOOKUP(B980,Orders!A:A,Orders!E:E,"")</x:f>
        <x:v>South</x:v>
      </x:c>
      <x:c r="L980" t="n">
        <x:f>XLOOKUP(B980,Orders!A:A,Orders!B:B,"")</x:f>
        <x:v>45768</x:v>
      </x:c>
      <x:c r="M980" t="str">
        <x:f>XLOOKUP(C980,Products!A:A,Products!C:C,"")</x:f>
        <x:v>Electronics</x:v>
      </x:c>
    </x:row>
    <x:row r="981">
      <x:c r="A981" s="15" t="str">
        <x:v>ITEM00410_2</x:v>
      </x:c>
      <x:c r="B981" s="15" t="str">
        <x:v>ORD00410</x:v>
      </x:c>
      <x:c r="C981" s="15" t="str">
        <x:v>PROD031</x:v>
      </x:c>
      <x:c r="D981" s="15" t="n">
        <x:v>4</x:v>
      </x:c>
      <x:c r="E981" s="15" t="n">
        <x:v>3371.81</x:v>
      </x:c>
      <x:c r="F981" s="15" t="n">
        <x:v>0</x:v>
      </x:c>
      <x:c r="G981" s="15" t="n">
        <x:v>13487.24</x:v>
      </x:c>
      <x:c r="H981" s="15" t="n">
        <x:v>13487.24</x:v>
      </x:c>
      <x:c r="I981" s="15" t="n">
        <x:v>11188</x:v>
      </x:c>
      <x:c r="J981" s="15" t="n">
        <x:v>2299.24</x:v>
      </x:c>
      <x:c r="K981" t="str">
        <x:f>XLOOKUP(B981,Orders!A:A,Orders!E:E,"")</x:f>
        <x:v>South</x:v>
      </x:c>
      <x:c r="L981" t="n">
        <x:f>XLOOKUP(B981,Orders!A:A,Orders!B:B,"")</x:f>
        <x:v>45768</x:v>
      </x:c>
      <x:c r="M981" t="str">
        <x:f>XLOOKUP(C981,Products!A:A,Products!C:C,"")</x:f>
        <x:v>Furniture</x:v>
      </x:c>
    </x:row>
    <x:row r="982">
      <x:c r="A982" s="15" t="str">
        <x:v>ITEM00410_3</x:v>
      </x:c>
      <x:c r="B982" s="15" t="str">
        <x:v>ORD00410</x:v>
      </x:c>
      <x:c r="C982" s="15" t="str">
        <x:v>PROD037</x:v>
      </x:c>
      <x:c r="D982" s="15" t="n">
        <x:v>2</x:v>
      </x:c>
      <x:c r="E982" s="15" t="n">
        <x:v>9876.8</x:v>
      </x:c>
      <x:c r="F982" s="15" t="n">
        <x:v>0</x:v>
      </x:c>
      <x:c r="G982" s="15" t="n">
        <x:v>19753.6</x:v>
      </x:c>
      <x:c r="H982" s="15" t="n">
        <x:v>19753.6</x:v>
      </x:c>
      <x:c r="I982" s="15" t="n">
        <x:v>14248</x:v>
      </x:c>
      <x:c r="J982" s="15" t="n">
        <x:v>5505.6</x:v>
      </x:c>
      <x:c r="K982" t="str">
        <x:f>XLOOKUP(B982,Orders!A:A,Orders!E:E,"")</x:f>
        <x:v>South</x:v>
      </x:c>
      <x:c r="L982" t="n">
        <x:f>XLOOKUP(B982,Orders!A:A,Orders!B:B,"")</x:f>
        <x:v>45768</x:v>
      </x:c>
      <x:c r="M982" t="str">
        <x:f>XLOOKUP(C982,Products!A:A,Products!C:C,"")</x:f>
        <x:v>Accessories</x:v>
      </x:c>
    </x:row>
    <x:row r="983">
      <x:c r="A983" s="15" t="str">
        <x:v>ITEM00410_4</x:v>
      </x:c>
      <x:c r="B983" s="15" t="str">
        <x:v>ORD00410</x:v>
      </x:c>
      <x:c r="C983" s="15" t="str">
        <x:v>PROD025</x:v>
      </x:c>
      <x:c r="D983" s="15" t="n">
        <x:v>6</x:v>
      </x:c>
      <x:c r="E983" s="15" t="n">
        <x:v>1148.84</x:v>
      </x:c>
      <x:c r="F983" s="15" t="n">
        <x:v>0</x:v>
      </x:c>
      <x:c r="G983" s="15" t="n">
        <x:v>6893.04</x:v>
      </x:c>
      <x:c r="H983" s="15" t="n">
        <x:v>6893.04</x:v>
      </x:c>
      <x:c r="I983" s="15" t="n">
        <x:v>5268</x:v>
      </x:c>
      <x:c r="J983" s="15" t="n">
        <x:v>1625.04</x:v>
      </x:c>
      <x:c r="K983" t="str">
        <x:f>XLOOKUP(B983,Orders!A:A,Orders!E:E,"")</x:f>
        <x:v>South</x:v>
      </x:c>
      <x:c r="L983" t="n">
        <x:f>XLOOKUP(B983,Orders!A:A,Orders!B:B,"")</x:f>
        <x:v>45768</x:v>
      </x:c>
      <x:c r="M983" t="str">
        <x:f>XLOOKUP(C983,Products!A:A,Products!C:C,"")</x:f>
        <x:v>Furniture</x:v>
      </x:c>
    </x:row>
    <x:row r="984">
      <x:c r="A984" s="15" t="str">
        <x:v>ITEM00411_1</x:v>
      </x:c>
      <x:c r="B984" s="15" t="str">
        <x:v>ORD00411</x:v>
      </x:c>
      <x:c r="C984" s="15" t="str">
        <x:v>PROD009</x:v>
      </x:c>
      <x:c r="D984" s="15" t="n">
        <x:v>7</x:v>
      </x:c>
      <x:c r="E984" s="15" t="n">
        <x:v>4722.96</x:v>
      </x:c>
      <x:c r="F984" s="15" t="n">
        <x:v>0.15</x:v>
      </x:c>
      <x:c r="G984" s="15" t="n">
        <x:v>33060.72</x:v>
      </x:c>
      <x:c r="H984" s="15" t="n">
        <x:v>28101.61</x:v>
      </x:c>
      <x:c r="I984" s="15" t="n">
        <x:v>22491</x:v>
      </x:c>
      <x:c r="J984" s="15" t="n">
        <x:v>5610.61</x:v>
      </x:c>
      <x:c r="K984" t="str">
        <x:f>XLOOKUP(B984,Orders!A:A,Orders!E:E,"")</x:f>
        <x:v>North</x:v>
      </x:c>
      <x:c r="L984" t="n">
        <x:f>XLOOKUP(B984,Orders!A:A,Orders!B:B,"")</x:f>
        <x:v>45704</x:v>
      </x:c>
      <x:c r="M984" t="str">
        <x:f>XLOOKUP(C984,Products!A:A,Products!C:C,"")</x:f>
        <x:v>Accessories</x:v>
      </x:c>
    </x:row>
    <x:row r="985">
      <x:c r="A985" s="15" t="str">
        <x:v>ITEM00412_1</x:v>
      </x:c>
      <x:c r="B985" s="15" t="str">
        <x:v>ORD00412</x:v>
      </x:c>
      <x:c r="C985" s="15" t="str">
        <x:v>PROD025</x:v>
      </x:c>
      <x:c r="D985" s="15" t="n">
        <x:v>5</x:v>
      </x:c>
      <x:c r="E985" s="15" t="n">
        <x:v>1148.84</x:v>
      </x:c>
      <x:c r="F985" s="15" t="n">
        <x:v>0</x:v>
      </x:c>
      <x:c r="G985" s="15" t="n">
        <x:v>5744.2</x:v>
      </x:c>
      <x:c r="H985" s="15" t="n">
        <x:v>5744.2</x:v>
      </x:c>
      <x:c r="I985" s="15" t="n">
        <x:v>4390</x:v>
      </x:c>
      <x:c r="J985" s="15" t="n">
        <x:v>1354.2</x:v>
      </x:c>
      <x:c r="K985" t="str">
        <x:f>XLOOKUP(B985,Orders!A:A,Orders!E:E,"")</x:f>
        <x:v>West</x:v>
      </x:c>
      <x:c r="L985" t="n">
        <x:f>XLOOKUP(B985,Orders!A:A,Orders!B:B,"")</x:f>
        <x:v>45792</x:v>
      </x:c>
      <x:c r="M985" t="str">
        <x:f>XLOOKUP(C985,Products!A:A,Products!C:C,"")</x:f>
        <x:v>Furniture</x:v>
      </x:c>
    </x:row>
    <x:row r="986">
      <x:c r="A986" s="15" t="str">
        <x:v>ITEM00412_2</x:v>
      </x:c>
      <x:c r="B986" s="15" t="str">
        <x:v>ORD00412</x:v>
      </x:c>
      <x:c r="C986" s="15" t="str">
        <x:v>PROD013</x:v>
      </x:c>
      <x:c r="D986" s="15" t="n">
        <x:v>3</x:v>
      </x:c>
      <x:c r="E986" s="15" t="n">
        <x:v>7614.02</x:v>
      </x:c>
      <x:c r="F986" s="15" t="n">
        <x:v>0.1</x:v>
      </x:c>
      <x:c r="G986" s="15" t="n">
        <x:v>22842.06</x:v>
      </x:c>
      <x:c r="H986" s="15" t="n">
        <x:v>20557.85</x:v>
      </x:c>
      <x:c r="I986" s="15" t="n">
        <x:v>18231</x:v>
      </x:c>
      <x:c r="J986" s="15" t="n">
        <x:v>2326.85</x:v>
      </x:c>
      <x:c r="K986" t="str">
        <x:f>XLOOKUP(B986,Orders!A:A,Orders!E:E,"")</x:f>
        <x:v>West</x:v>
      </x:c>
      <x:c r="L986" t="n">
        <x:f>XLOOKUP(B986,Orders!A:A,Orders!B:B,"")</x:f>
        <x:v>45792</x:v>
      </x:c>
      <x:c r="M986" t="str">
        <x:f>XLOOKUP(C986,Products!A:A,Products!C:C,"")</x:f>
        <x:v>Furniture</x:v>
      </x:c>
    </x:row>
    <x:row r="987">
      <x:c r="A987" s="15" t="str">
        <x:v>ITEM00412_3</x:v>
      </x:c>
      <x:c r="B987" s="15" t="str">
        <x:v>ORD00412</x:v>
      </x:c>
      <x:c r="C987" s="15" t="str">
        <x:v>PROD023</x:v>
      </x:c>
      <x:c r="D987" s="15" t="n">
        <x:v>5</x:v>
      </x:c>
      <x:c r="E987" s="15" t="n">
        <x:v>5153.56</x:v>
      </x:c>
      <x:c r="F987" s="15" t="n">
        <x:v>0.1</x:v>
      </x:c>
      <x:c r="G987" s="15" t="n">
        <x:v>25767.8</x:v>
      </x:c>
      <x:c r="H987" s="15" t="n">
        <x:v>23191.02</x:v>
      </x:c>
      <x:c r="I987" s="15" t="n">
        <x:v>19790</x:v>
      </x:c>
      <x:c r="J987" s="15" t="n">
        <x:v>3401.02</x:v>
      </x:c>
      <x:c r="K987" t="str">
        <x:f>XLOOKUP(B987,Orders!A:A,Orders!E:E,"")</x:f>
        <x:v>West</x:v>
      </x:c>
      <x:c r="L987" t="n">
        <x:f>XLOOKUP(B987,Orders!A:A,Orders!B:B,"")</x:f>
        <x:v>45792</x:v>
      </x:c>
      <x:c r="M987" t="str">
        <x:f>XLOOKUP(C987,Products!A:A,Products!C:C,"")</x:f>
        <x:v>Electronics</x:v>
      </x:c>
    </x:row>
    <x:row r="988">
      <x:c r="A988" s="15" t="str">
        <x:v>ITEM00412_4</x:v>
      </x:c>
      <x:c r="B988" s="15" t="str">
        <x:v>ORD00412</x:v>
      </x:c>
      <x:c r="C988" s="15" t="str">
        <x:v>PROD028</x:v>
      </x:c>
      <x:c r="D988" s="15" t="n">
        <x:v>7</x:v>
      </x:c>
      <x:c r="E988" s="15" t="n">
        <x:v>4640.74</x:v>
      </x:c>
      <x:c r="F988" s="15" t="n">
        <x:v>0</x:v>
      </x:c>
      <x:c r="G988" s="15" t="n">
        <x:v>32485.18</x:v>
      </x:c>
      <x:c r="H988" s="15" t="n">
        <x:v>32485.18</x:v>
      </x:c>
      <x:c r="I988" s="15" t="n">
        <x:v>24738</x:v>
      </x:c>
      <x:c r="J988" s="15" t="n">
        <x:v>7747.18</x:v>
      </x:c>
      <x:c r="K988" t="str">
        <x:f>XLOOKUP(B988,Orders!A:A,Orders!E:E,"")</x:f>
        <x:v>West</x:v>
      </x:c>
      <x:c r="L988" t="n">
        <x:f>XLOOKUP(B988,Orders!A:A,Orders!B:B,"")</x:f>
        <x:v>45792</x:v>
      </x:c>
      <x:c r="M988" t="str">
        <x:f>XLOOKUP(C988,Products!A:A,Products!C:C,"")</x:f>
        <x:v>Office Supplies</x:v>
      </x:c>
    </x:row>
    <x:row r="989">
      <x:c r="A989" s="15" t="str">
        <x:v>ITEM00413_1</x:v>
      </x:c>
      <x:c r="B989" s="15" t="str">
        <x:v>ORD00413</x:v>
      </x:c>
      <x:c r="C989" s="15" t="str">
        <x:v>PROD025</x:v>
      </x:c>
      <x:c r="D989" s="15" t="n">
        <x:v>5</x:v>
      </x:c>
      <x:c r="E989" s="15" t="n">
        <x:v>1148.84</x:v>
      </x:c>
      <x:c r="F989" s="15" t="n">
        <x:v>0.1</x:v>
      </x:c>
      <x:c r="G989" s="15" t="n">
        <x:v>5744.2</x:v>
      </x:c>
      <x:c r="H989" s="15" t="n">
        <x:v>5169.78</x:v>
      </x:c>
      <x:c r="I989" s="15" t="n">
        <x:v>4390</x:v>
      </x:c>
      <x:c r="J989" s="15" t="n">
        <x:v>779.78</x:v>
      </x:c>
      <x:c r="K989" t="str">
        <x:f>XLOOKUP(B989,Orders!A:A,Orders!E:E,"")</x:f>
        <x:v>North</x:v>
      </x:c>
      <x:c r="L989" t="n">
        <x:f>XLOOKUP(B989,Orders!A:A,Orders!B:B,"")</x:f>
        <x:v>45801</x:v>
      </x:c>
      <x:c r="M989" t="str">
        <x:f>XLOOKUP(C989,Products!A:A,Products!C:C,"")</x:f>
        <x:v>Furniture</x:v>
      </x:c>
    </x:row>
    <x:row r="990">
      <x:c r="A990" s="15" t="str">
        <x:v>ITEM00413_2</x:v>
      </x:c>
      <x:c r="B990" s="15" t="str">
        <x:v>ORD00413</x:v>
      </x:c>
      <x:c r="C990" s="15" t="str">
        <x:v>PROD015</x:v>
      </x:c>
      <x:c r="D990" s="15" t="n">
        <x:v>3</x:v>
      </x:c>
      <x:c r="E990" s="15" t="n">
        <x:v>5903.1</x:v>
      </x:c>
      <x:c r="F990" s="15" t="n">
        <x:v>0.1</x:v>
      </x:c>
      <x:c r="G990" s="15" t="n">
        <x:v>17709.3</x:v>
      </x:c>
      <x:c r="H990" s="15" t="n">
        <x:v>15938.37</x:v>
      </x:c>
      <x:c r="I990" s="15" t="n">
        <x:v>14355</x:v>
      </x:c>
      <x:c r="J990" s="15" t="n">
        <x:v>1583.37</x:v>
      </x:c>
      <x:c r="K990" t="str">
        <x:f>XLOOKUP(B990,Orders!A:A,Orders!E:E,"")</x:f>
        <x:v>North</x:v>
      </x:c>
      <x:c r="L990" t="n">
        <x:f>XLOOKUP(B990,Orders!A:A,Orders!B:B,"")</x:f>
        <x:v>45801</x:v>
      </x:c>
      <x:c r="M990" t="str">
        <x:f>XLOOKUP(C990,Products!A:A,Products!C:C,"")</x:f>
        <x:v>Electronics</x:v>
      </x:c>
    </x:row>
    <x:row r="991">
      <x:c r="A991" s="15" t="str">
        <x:v>ITEM00413_3</x:v>
      </x:c>
      <x:c r="B991" s="15" t="str">
        <x:v>ORD00413</x:v>
      </x:c>
      <x:c r="C991" s="15" t="str">
        <x:v>PROD039</x:v>
      </x:c>
      <x:c r="D991" s="15" t="n">
        <x:v>5</x:v>
      </x:c>
      <x:c r="E991" s="15" t="n">
        <x:v>5945.62</x:v>
      </x:c>
      <x:c r="F991" s="15" t="n">
        <x:v>0.15</x:v>
      </x:c>
      <x:c r="G991" s="15" t="n">
        <x:v>29728.1</x:v>
      </x:c>
      <x:c r="H991" s="15" t="n">
        <x:v>25268.88</x:v>
      </x:c>
      <x:c r="I991" s="15" t="n">
        <x:v>22865</x:v>
      </x:c>
      <x:c r="J991" s="15" t="n">
        <x:v>2403.88</x:v>
      </x:c>
      <x:c r="K991" t="str">
        <x:f>XLOOKUP(B991,Orders!A:A,Orders!E:E,"")</x:f>
        <x:v>North</x:v>
      </x:c>
      <x:c r="L991" t="n">
        <x:f>XLOOKUP(B991,Orders!A:A,Orders!B:B,"")</x:f>
        <x:v>45801</x:v>
      </x:c>
      <x:c r="M991" t="str">
        <x:f>XLOOKUP(C991,Products!A:A,Products!C:C,"")</x:f>
        <x:v>Office Supplies</x:v>
      </x:c>
    </x:row>
    <x:row r="992">
      <x:c r="A992" s="15" t="str">
        <x:v>ITEM00414_1</x:v>
      </x:c>
      <x:c r="B992" s="15" t="str">
        <x:v>ORD00414</x:v>
      </x:c>
      <x:c r="C992" s="15" t="str">
        <x:v>PROD023</x:v>
      </x:c>
      <x:c r="D992" s="15" t="n">
        <x:v>1</x:v>
      </x:c>
      <x:c r="E992" s="15" t="n">
        <x:v>5153.56</x:v>
      </x:c>
      <x:c r="F992" s="15" t="n">
        <x:v>0.05</x:v>
      </x:c>
      <x:c r="G992" s="15" t="n">
        <x:v>5153.56</x:v>
      </x:c>
      <x:c r="H992" s="15" t="n">
        <x:v>4895.88</x:v>
      </x:c>
      <x:c r="I992" s="15" t="n">
        <x:v>3958</x:v>
      </x:c>
      <x:c r="J992" s="15" t="n">
        <x:v>937.88</x:v>
      </x:c>
      <x:c r="K992" t="str">
        <x:f>XLOOKUP(B992,Orders!A:A,Orders!E:E,"")</x:f>
        <x:v>North</x:v>
      </x:c>
      <x:c r="L992" t="n">
        <x:f>XLOOKUP(B992,Orders!A:A,Orders!B:B,"")</x:f>
        <x:v>45836</x:v>
      </x:c>
      <x:c r="M992" t="str">
        <x:f>XLOOKUP(C992,Products!A:A,Products!C:C,"")</x:f>
        <x:v>Electronics</x:v>
      </x:c>
    </x:row>
    <x:row r="993">
      <x:c r="A993" s="15" t="str">
        <x:v>ITEM00414_2</x:v>
      </x:c>
      <x:c r="B993" s="15" t="str">
        <x:v>ORD00414</x:v>
      </x:c>
      <x:c r="C993" s="15" t="str">
        <x:v>PROD022</x:v>
      </x:c>
      <x:c r="D993" s="15" t="n">
        <x:v>2</x:v>
      </x:c>
      <x:c r="E993" s="15" t="n">
        <x:v>7775.36</x:v>
      </x:c>
      <x:c r="F993" s="15" t="n">
        <x:v>0.15</x:v>
      </x:c>
      <x:c r="G993" s="15" t="n">
        <x:v>15550.72</x:v>
      </x:c>
      <x:c r="H993" s="15" t="n">
        <x:v>13218.11</x:v>
      </x:c>
      <x:c r="I993" s="15" t="n">
        <x:v>12662</x:v>
      </x:c>
      <x:c r="J993" s="15" t="n">
        <x:v>556.11</x:v>
      </x:c>
      <x:c r="K993" t="str">
        <x:f>XLOOKUP(B993,Orders!A:A,Orders!E:E,"")</x:f>
        <x:v>North</x:v>
      </x:c>
      <x:c r="L993" t="n">
        <x:f>XLOOKUP(B993,Orders!A:A,Orders!B:B,"")</x:f>
        <x:v>45836</x:v>
      </x:c>
      <x:c r="M993" t="str">
        <x:f>XLOOKUP(C993,Products!A:A,Products!C:C,"")</x:f>
        <x:v>Furniture</x:v>
      </x:c>
    </x:row>
    <x:row r="994">
      <x:c r="A994" s="15" t="str">
        <x:v>ITEM00414_3</x:v>
      </x:c>
      <x:c r="B994" s="15" t="str">
        <x:v>ORD00414</x:v>
      </x:c>
      <x:c r="C994" s="15" t="str">
        <x:v>PROD013</x:v>
      </x:c>
      <x:c r="D994" s="15" t="n">
        <x:v>8</x:v>
      </x:c>
      <x:c r="E994" s="15" t="n">
        <x:v>7614.02</x:v>
      </x:c>
      <x:c r="F994" s="15" t="n">
        <x:v>0</x:v>
      </x:c>
      <x:c r="G994" s="15" t="n">
        <x:v>60912.16</x:v>
      </x:c>
      <x:c r="H994" s="15" t="n">
        <x:v>60912.16</x:v>
      </x:c>
      <x:c r="I994" s="15" t="n">
        <x:v>48616</x:v>
      </x:c>
      <x:c r="J994" s="15" t="n">
        <x:v>12296.16</x:v>
      </x:c>
      <x:c r="K994" t="str">
        <x:f>XLOOKUP(B994,Orders!A:A,Orders!E:E,"")</x:f>
        <x:v>North</x:v>
      </x:c>
      <x:c r="L994" t="n">
        <x:f>XLOOKUP(B994,Orders!A:A,Orders!B:B,"")</x:f>
        <x:v>45836</x:v>
      </x:c>
      <x:c r="M994" t="str">
        <x:f>XLOOKUP(C994,Products!A:A,Products!C:C,"")</x:f>
        <x:v>Furniture</x:v>
      </x:c>
    </x:row>
    <x:row r="995">
      <x:c r="A995" s="15" t="str">
        <x:v>ITEM00414_4</x:v>
      </x:c>
      <x:c r="B995" s="15" t="str">
        <x:v>ORD00414</x:v>
      </x:c>
      <x:c r="C995" s="15" t="str">
        <x:v>PROD037</x:v>
      </x:c>
      <x:c r="D995" s="15" t="n">
        <x:v>3</x:v>
      </x:c>
      <x:c r="E995" s="15" t="n">
        <x:v>9876.8</x:v>
      </x:c>
      <x:c r="F995" s="15" t="n">
        <x:v>0.1</x:v>
      </x:c>
      <x:c r="G995" s="15" t="n">
        <x:v>29630.4</x:v>
      </x:c>
      <x:c r="H995" s="15" t="n">
        <x:v>26667.36</x:v>
      </x:c>
      <x:c r="I995" s="15" t="n">
        <x:v>21372</x:v>
      </x:c>
      <x:c r="J995" s="15" t="n">
        <x:v>5295.36</x:v>
      </x:c>
      <x:c r="K995" t="str">
        <x:f>XLOOKUP(B995,Orders!A:A,Orders!E:E,"")</x:f>
        <x:v>North</x:v>
      </x:c>
      <x:c r="L995" t="n">
        <x:f>XLOOKUP(B995,Orders!A:A,Orders!B:B,"")</x:f>
        <x:v>45836</x:v>
      </x:c>
      <x:c r="M995" t="str">
        <x:f>XLOOKUP(C995,Products!A:A,Products!C:C,"")</x:f>
        <x:v>Accessories</x:v>
      </x:c>
    </x:row>
    <x:row r="996">
      <x:c r="A996" s="15" t="str">
        <x:v>ITEM00415_1</x:v>
      </x:c>
      <x:c r="B996" s="15" t="str">
        <x:v>ORD00415</x:v>
      </x:c>
      <x:c r="C996" s="15" t="str">
        <x:v>PROD022</x:v>
      </x:c>
      <x:c r="D996" s="15" t="n">
        <x:v>5</x:v>
      </x:c>
      <x:c r="E996" s="15" t="n">
        <x:v>7775.36</x:v>
      </x:c>
      <x:c r="F996" s="15" t="n">
        <x:v>0</x:v>
      </x:c>
      <x:c r="G996" s="15" t="n">
        <x:v>38876.8</x:v>
      </x:c>
      <x:c r="H996" s="15" t="n">
        <x:v>38876.8</x:v>
      </x:c>
      <x:c r="I996" s="15" t="n">
        <x:v>31655</x:v>
      </x:c>
      <x:c r="J996" s="15" t="n">
        <x:v>7221.8</x:v>
      </x:c>
      <x:c r="K996" t="str">
        <x:f>XLOOKUP(B996,Orders!A:A,Orders!E:E,"")</x:f>
        <x:v>West</x:v>
      </x:c>
      <x:c r="L996" t="n">
        <x:f>XLOOKUP(B996,Orders!A:A,Orders!B:B,"")</x:f>
        <x:v>45844</x:v>
      </x:c>
      <x:c r="M996" t="str">
        <x:f>XLOOKUP(C996,Products!A:A,Products!C:C,"")</x:f>
        <x:v>Furniture</x:v>
      </x:c>
    </x:row>
    <x:row r="997">
      <x:c r="A997" s="15" t="str">
        <x:v>ITEM00415_2</x:v>
      </x:c>
      <x:c r="B997" s="15" t="str">
        <x:v>ORD00415</x:v>
      </x:c>
      <x:c r="C997" s="15" t="str">
        <x:v>PROD017</x:v>
      </x:c>
      <x:c r="D997" s="15" t="n">
        <x:v>6</x:v>
      </x:c>
      <x:c r="E997" s="15" t="n">
        <x:v>7311.62</x:v>
      </x:c>
      <x:c r="F997" s="15" t="n">
        <x:v>0</x:v>
      </x:c>
      <x:c r="G997" s="15" t="n">
        <x:v>43869.72</x:v>
      </x:c>
      <x:c r="H997" s="15" t="n">
        <x:v>43869.72</x:v>
      </x:c>
      <x:c r="I997" s="15" t="n">
        <x:v>31548</x:v>
      </x:c>
      <x:c r="J997" s="15" t="n">
        <x:v>12321.72</x:v>
      </x:c>
      <x:c r="K997" t="str">
        <x:f>XLOOKUP(B997,Orders!A:A,Orders!E:E,"")</x:f>
        <x:v>West</x:v>
      </x:c>
      <x:c r="L997" t="n">
        <x:f>XLOOKUP(B997,Orders!A:A,Orders!B:B,"")</x:f>
        <x:v>45844</x:v>
      </x:c>
      <x:c r="M997" t="str">
        <x:f>XLOOKUP(C997,Products!A:A,Products!C:C,"")</x:f>
        <x:v>Accessories</x:v>
      </x:c>
    </x:row>
    <x:row r="998">
      <x:c r="A998" s="15" t="str">
        <x:v>ITEM00416_1</x:v>
      </x:c>
      <x:c r="B998" s="15" t="str">
        <x:v>ORD00416</x:v>
      </x:c>
      <x:c r="C998" s="15" t="str">
        <x:v>PROD005</x:v>
      </x:c>
      <x:c r="D998" s="15" t="n">
        <x:v>5</x:v>
      </x:c>
      <x:c r="E998" s="15" t="n">
        <x:v>6453.62</x:v>
      </x:c>
      <x:c r="F998" s="15" t="n">
        <x:v>0.1</x:v>
      </x:c>
      <x:c r="G998" s="15" t="n">
        <x:v>32268.1</x:v>
      </x:c>
      <x:c r="H998" s="15" t="n">
        <x:v>29041.29</x:v>
      </x:c>
      <x:c r="I998" s="15" t="n">
        <x:v>24240</x:v>
      </x:c>
      <x:c r="J998" s="15" t="n">
        <x:v>4801.29</x:v>
      </x:c>
      <x:c r="K998" t="str">
        <x:f>XLOOKUP(B998,Orders!A:A,Orders!E:E,"")</x:f>
        <x:v>South</x:v>
      </x:c>
      <x:c r="L998" t="n">
        <x:f>XLOOKUP(B998,Orders!A:A,Orders!B:B,"")</x:f>
        <x:v>46187</x:v>
      </x:c>
      <x:c r="M998" t="str">
        <x:f>XLOOKUP(C998,Products!A:A,Products!C:C,"")</x:f>
        <x:v>Office Supplies</x:v>
      </x:c>
    </x:row>
    <x:row r="999">
      <x:c r="A999" s="15" t="str">
        <x:v>ITEM00416_2</x:v>
      </x:c>
      <x:c r="B999" s="15" t="str">
        <x:v>ORD00416</x:v>
      </x:c>
      <x:c r="C999" s="15" t="str">
        <x:v>PROD024</x:v>
      </x:c>
      <x:c r="D999" s="15" t="n">
        <x:v>4</x:v>
      </x:c>
      <x:c r="E999" s="15" t="n">
        <x:v>4018</x:v>
      </x:c>
      <x:c r="F999" s="15" t="n">
        <x:v>0.1</x:v>
      </x:c>
      <x:c r="G999" s="15" t="n">
        <x:v>16072</x:v>
      </x:c>
      <x:c r="H999" s="15" t="n">
        <x:v>14464.8</x:v>
      </x:c>
      <x:c r="I999" s="15" t="n">
        <x:v>12768</x:v>
      </x:c>
      <x:c r="J999" s="15" t="n">
        <x:v>1696.8</x:v>
      </x:c>
      <x:c r="K999" t="str">
        <x:f>XLOOKUP(B999,Orders!A:A,Orders!E:E,"")</x:f>
        <x:v>South</x:v>
      </x:c>
      <x:c r="L999" t="n">
        <x:f>XLOOKUP(B999,Orders!A:A,Orders!B:B,"")</x:f>
        <x:v>46187</x:v>
      </x:c>
      <x:c r="M999" t="str">
        <x:f>XLOOKUP(C999,Products!A:A,Products!C:C,"")</x:f>
        <x:v>Furniture</x:v>
      </x:c>
    </x:row>
    <x:row r="1000">
      <x:c r="A1000" s="15" t="str">
        <x:v>ITEM00416_3</x:v>
      </x:c>
      <x:c r="B1000" s="15" t="str">
        <x:v>ORD00416</x:v>
      </x:c>
      <x:c r="C1000" s="15" t="str">
        <x:v>PROD011</x:v>
      </x:c>
      <x:c r="D1000" s="15" t="n">
        <x:v>3</x:v>
      </x:c>
      <x:c r="E1000" s="15" t="n">
        <x:v>7135.27</x:v>
      </x:c>
      <x:c r="F1000" s="15" t="n">
        <x:v>0</x:v>
      </x:c>
      <x:c r="G1000" s="15" t="n">
        <x:v>21405.81</x:v>
      </x:c>
      <x:c r="H1000" s="15" t="n">
        <x:v>21405.81</x:v>
      </x:c>
      <x:c r="I1000" s="15" t="n">
        <x:v>15609</x:v>
      </x:c>
      <x:c r="J1000" s="15" t="n">
        <x:v>5796.81</x:v>
      </x:c>
      <x:c r="K1000" t="str">
        <x:f>XLOOKUP(B1000,Orders!A:A,Orders!E:E,"")</x:f>
        <x:v>South</x:v>
      </x:c>
      <x:c r="L1000" t="n">
        <x:f>XLOOKUP(B1000,Orders!A:A,Orders!B:B,"")</x:f>
        <x:v>46187</x:v>
      </x:c>
      <x:c r="M1000" t="str">
        <x:f>XLOOKUP(C1000,Products!A:A,Products!C:C,"")</x:f>
        <x:v>Accessories</x:v>
      </x:c>
    </x:row>
    <x:row r="1001">
      <x:c r="A1001" s="15" t="str">
        <x:v>ITEM00416_4</x:v>
      </x:c>
      <x:c r="B1001" s="15" t="str">
        <x:v>ORD00416</x:v>
      </x:c>
      <x:c r="C1001" s="15" t="str">
        <x:v>PROD008</x:v>
      </x:c>
      <x:c r="D1001" s="15" t="n">
        <x:v>1</x:v>
      </x:c>
      <x:c r="E1001" s="15" t="n">
        <x:v>8534.48</x:v>
      </x:c>
      <x:c r="F1001" s="15" t="n">
        <x:v>0.05</x:v>
      </x:c>
      <x:c r="G1001" s="15" t="n">
        <x:v>8534.48</x:v>
      </x:c>
      <x:c r="H1001" s="15" t="n">
        <x:v>8107.76</x:v>
      </x:c>
      <x:c r="I1001" s="15" t="n">
        <x:v>6197</x:v>
      </x:c>
      <x:c r="J1001" s="15" t="n">
        <x:v>1910.76</x:v>
      </x:c>
      <x:c r="K1001" t="str">
        <x:f>XLOOKUP(B1001,Orders!A:A,Orders!E:E,"")</x:f>
        <x:v>South</x:v>
      </x:c>
      <x:c r="L1001" t="n">
        <x:f>XLOOKUP(B1001,Orders!A:A,Orders!B:B,"")</x:f>
        <x:v>46187</x:v>
      </x:c>
      <x:c r="M1001" t="str">
        <x:f>XLOOKUP(C1001,Products!A:A,Products!C:C,"")</x:f>
        <x:v>Office Supplies</x:v>
      </x:c>
    </x:row>
    <x:row r="1002">
      <x:c r="A1002" s="15" t="str">
        <x:v>ITEM00417_1</x:v>
      </x:c>
      <x:c r="B1002" s="15" t="str">
        <x:v>ORD00417</x:v>
      </x:c>
      <x:c r="C1002" s="15" t="str">
        <x:v>PROD007</x:v>
      </x:c>
      <x:c r="D1002" s="15" t="n">
        <x:v>5</x:v>
      </x:c>
      <x:c r="E1002" s="15" t="n">
        <x:v>5013.07</x:v>
      </x:c>
      <x:c r="F1002" s="15" t="n">
        <x:v>0.15</x:v>
      </x:c>
      <x:c r="G1002" s="15" t="n">
        <x:v>25065.35</x:v>
      </x:c>
      <x:c r="H1002" s="15" t="n">
        <x:v>21305.55</x:v>
      </x:c>
      <x:c r="I1002" s="15" t="n">
        <x:v>19705</x:v>
      </x:c>
      <x:c r="J1002" s="15" t="n">
        <x:v>1600.55</x:v>
      </x:c>
      <x:c r="K1002" t="str">
        <x:f>XLOOKUP(B1002,Orders!A:A,Orders!E:E,"")</x:f>
        <x:v>South</x:v>
      </x:c>
      <x:c r="L1002" t="n">
        <x:f>XLOOKUP(B1002,Orders!A:A,Orders!B:B,"")</x:f>
        <x:v>45889</x:v>
      </x:c>
      <x:c r="M1002" t="str">
        <x:f>XLOOKUP(C1002,Products!A:A,Products!C:C,"")</x:f>
        <x:v>Electronics</x:v>
      </x:c>
    </x:row>
    <x:row r="1003">
      <x:c r="A1003" s="15" t="str">
        <x:v>ITEM00418_1</x:v>
      </x:c>
      <x:c r="B1003" s="15" t="str">
        <x:v>ORD00418</x:v>
      </x:c>
      <x:c r="C1003" s="15" t="str">
        <x:v>PROD015</x:v>
      </x:c>
      <x:c r="D1003" s="15" t="n">
        <x:v>4</x:v>
      </x:c>
      <x:c r="E1003" s="15" t="n">
        <x:v>5903.1</x:v>
      </x:c>
      <x:c r="F1003" s="15" t="n">
        <x:v>0.05</x:v>
      </x:c>
      <x:c r="G1003" s="15" t="n">
        <x:v>23612.4</x:v>
      </x:c>
      <x:c r="H1003" s="15" t="n">
        <x:v>22431.78</x:v>
      </x:c>
      <x:c r="I1003" s="15" t="n">
        <x:v>19140</x:v>
      </x:c>
      <x:c r="J1003" s="15" t="n">
        <x:v>3291.78</x:v>
      </x:c>
      <x:c r="K1003" t="str">
        <x:f>XLOOKUP(B1003,Orders!A:A,Orders!E:E,"")</x:f>
        <x:v>East</x:v>
      </x:c>
      <x:c r="L1003" t="n">
        <x:f>XLOOKUP(B1003,Orders!A:A,Orders!B:B,"")</x:f>
        <x:v>46035</x:v>
      </x:c>
      <x:c r="M1003" t="str">
        <x:f>XLOOKUP(C1003,Products!A:A,Products!C:C,"")</x:f>
        <x:v>Electronics</x:v>
      </x:c>
    </x:row>
    <x:row r="1004">
      <x:c r="A1004" s="15" t="str">
        <x:v>ITEM00418_2</x:v>
      </x:c>
      <x:c r="B1004" s="15" t="str">
        <x:v>ORD00418</x:v>
      </x:c>
      <x:c r="C1004" s="15" t="str">
        <x:v>PROD025</x:v>
      </x:c>
      <x:c r="D1004" s="15" t="n">
        <x:v>1</x:v>
      </x:c>
      <x:c r="E1004" s="15" t="n">
        <x:v>1148.84</x:v>
      </x:c>
      <x:c r="F1004" s="15" t="n">
        <x:v>0.15</x:v>
      </x:c>
      <x:c r="G1004" s="15" t="n">
        <x:v>1148.84</x:v>
      </x:c>
      <x:c r="H1004" s="15" t="n">
        <x:v>976.51</x:v>
      </x:c>
      <x:c r="I1004" s="15" t="n">
        <x:v>878</x:v>
      </x:c>
      <x:c r="J1004" s="15" t="n">
        <x:v>98.51</x:v>
      </x:c>
      <x:c r="K1004" t="str">
        <x:f>XLOOKUP(B1004,Orders!A:A,Orders!E:E,"")</x:f>
        <x:v>East</x:v>
      </x:c>
      <x:c r="L1004" t="n">
        <x:f>XLOOKUP(B1004,Orders!A:A,Orders!B:B,"")</x:f>
        <x:v>46035</x:v>
      </x:c>
      <x:c r="M1004" t="str">
        <x:f>XLOOKUP(C1004,Products!A:A,Products!C:C,"")</x:f>
        <x:v>Furniture</x:v>
      </x:c>
    </x:row>
    <x:row r="1005">
      <x:c r="A1005" s="15" t="str">
        <x:v>ITEM00419_1</x:v>
      </x:c>
      <x:c r="B1005" s="15" t="str">
        <x:v>ORD00419</x:v>
      </x:c>
      <x:c r="C1005" s="15" t="str">
        <x:v>PROD022</x:v>
      </x:c>
      <x:c r="D1005" s="15" t="n">
        <x:v>5</x:v>
      </x:c>
      <x:c r="E1005" s="15" t="n">
        <x:v>7775.36</x:v>
      </x:c>
      <x:c r="F1005" s="15" t="n">
        <x:v>0.15</x:v>
      </x:c>
      <x:c r="G1005" s="15" t="n">
        <x:v>38876.8</x:v>
      </x:c>
      <x:c r="H1005" s="15" t="n">
        <x:v>33045.28</x:v>
      </x:c>
      <x:c r="I1005" s="15" t="n">
        <x:v>31655</x:v>
      </x:c>
      <x:c r="J1005" s="15" t="n">
        <x:v>1390.28</x:v>
      </x:c>
      <x:c r="K1005" t="str">
        <x:f>XLOOKUP(B1005,Orders!A:A,Orders!E:E,"")</x:f>
        <x:v>West</x:v>
      </x:c>
      <x:c r="L1005" t="n">
        <x:f>XLOOKUP(B1005,Orders!A:A,Orders!B:B,"")</x:f>
        <x:v>45972</x:v>
      </x:c>
      <x:c r="M1005" t="str">
        <x:f>XLOOKUP(C1005,Products!A:A,Products!C:C,"")</x:f>
        <x:v>Furniture</x:v>
      </x:c>
    </x:row>
    <x:row r="1006">
      <x:c r="A1006" s="15" t="str">
        <x:v>ITEM00419_2</x:v>
      </x:c>
      <x:c r="B1006" s="15" t="str">
        <x:v>ORD00419</x:v>
      </x:c>
      <x:c r="C1006" s="15" t="str">
        <x:v>PROD014</x:v>
      </x:c>
      <x:c r="D1006" s="15" t="n">
        <x:v>7</x:v>
      </x:c>
      <x:c r="E1006" s="15" t="n">
        <x:v>1611.65</x:v>
      </x:c>
      <x:c r="F1006" s="15" t="n">
        <x:v>0.15</x:v>
      </x:c>
      <x:c r="G1006" s="15" t="n">
        <x:v>11281.55</x:v>
      </x:c>
      <x:c r="H1006" s="15" t="n">
        <x:v>9589.32</x:v>
      </x:c>
      <x:c r="I1006" s="15" t="n">
        <x:v>8631</x:v>
      </x:c>
      <x:c r="J1006" s="15" t="n">
        <x:v>958.32</x:v>
      </x:c>
      <x:c r="K1006" t="str">
        <x:f>XLOOKUP(B1006,Orders!A:A,Orders!E:E,"")</x:f>
        <x:v>West</x:v>
      </x:c>
      <x:c r="L1006" t="n">
        <x:f>XLOOKUP(B1006,Orders!A:A,Orders!B:B,"")</x:f>
        <x:v>45972</x:v>
      </x:c>
      <x:c r="M1006" t="str">
        <x:f>XLOOKUP(C1006,Products!A:A,Products!C:C,"")</x:f>
        <x:v>Office Supplies</x:v>
      </x:c>
    </x:row>
    <x:row r="1007">
      <x:c r="A1007" s="15" t="str">
        <x:v>ITEM00419_3</x:v>
      </x:c>
      <x:c r="B1007" s="15" t="str">
        <x:v>ORD00419</x:v>
      </x:c>
      <x:c r="C1007" s="15" t="str">
        <x:v>PROD024</x:v>
      </x:c>
      <x:c r="D1007" s="15" t="n">
        <x:v>7</x:v>
      </x:c>
      <x:c r="E1007" s="15" t="n">
        <x:v>4018</x:v>
      </x:c>
      <x:c r="F1007" s="15" t="n">
        <x:v>0.15</x:v>
      </x:c>
      <x:c r="G1007" s="15" t="n">
        <x:v>28126</x:v>
      </x:c>
      <x:c r="H1007" s="15" t="n">
        <x:v>23907.1</x:v>
      </x:c>
      <x:c r="I1007" s="15" t="n">
        <x:v>22344</x:v>
      </x:c>
      <x:c r="J1007" s="15" t="n">
        <x:v>1563.1</x:v>
      </x:c>
      <x:c r="K1007" t="str">
        <x:f>XLOOKUP(B1007,Orders!A:A,Orders!E:E,"")</x:f>
        <x:v>West</x:v>
      </x:c>
      <x:c r="L1007" t="n">
        <x:f>XLOOKUP(B1007,Orders!A:A,Orders!B:B,"")</x:f>
        <x:v>45972</x:v>
      </x:c>
      <x:c r="M1007" t="str">
        <x:f>XLOOKUP(C1007,Products!A:A,Products!C:C,"")</x:f>
        <x:v>Furniture</x:v>
      </x:c>
    </x:row>
    <x:row r="1008">
      <x:c r="A1008" s="15" t="str">
        <x:v>ITEM00419_4</x:v>
      </x:c>
      <x:c r="B1008" s="15" t="str">
        <x:v>ORD00419</x:v>
      </x:c>
      <x:c r="C1008" s="15" t="str">
        <x:v>PROD021</x:v>
      </x:c>
      <x:c r="D1008" s="15" t="n">
        <x:v>5</x:v>
      </x:c>
      <x:c r="E1008" s="15" t="n">
        <x:v>6748.85</x:v>
      </x:c>
      <x:c r="F1008" s="15" t="n">
        <x:v>0.15</x:v>
      </x:c>
      <x:c r="G1008" s="15" t="n">
        <x:v>33744.25</x:v>
      </x:c>
      <x:c r="H1008" s="15" t="n">
        <x:v>28682.61</x:v>
      </x:c>
      <x:c r="I1008" s="15" t="n">
        <x:v>24995</x:v>
      </x:c>
      <x:c r="J1008" s="15" t="n">
        <x:v>3687.61</x:v>
      </x:c>
      <x:c r="K1008" t="str">
        <x:f>XLOOKUP(B1008,Orders!A:A,Orders!E:E,"")</x:f>
        <x:v>West</x:v>
      </x:c>
      <x:c r="L1008" t="n">
        <x:f>XLOOKUP(B1008,Orders!A:A,Orders!B:B,"")</x:f>
        <x:v>45972</x:v>
      </x:c>
      <x:c r="M1008" t="str">
        <x:f>XLOOKUP(C1008,Products!A:A,Products!C:C,"")</x:f>
        <x:v>Electronics</x:v>
      </x:c>
    </x:row>
    <x:row r="1009">
      <x:c r="A1009" s="15" t="str">
        <x:v>ITEM00420_1</x:v>
      </x:c>
      <x:c r="B1009" s="15" t="str">
        <x:v>ORD00420</x:v>
      </x:c>
      <x:c r="C1009" s="15" t="str">
        <x:v>PROD022</x:v>
      </x:c>
      <x:c r="D1009" s="15" t="n">
        <x:v>2</x:v>
      </x:c>
      <x:c r="E1009" s="15" t="n">
        <x:v>7775.36</x:v>
      </x:c>
      <x:c r="F1009" s="15" t="n">
        <x:v>0</x:v>
      </x:c>
      <x:c r="G1009" s="15" t="n">
        <x:v>15550.72</x:v>
      </x:c>
      <x:c r="H1009" s="15" t="n">
        <x:v>15550.72</x:v>
      </x:c>
      <x:c r="I1009" s="15" t="n">
        <x:v>12662</x:v>
      </x:c>
      <x:c r="J1009" s="15" t="n">
        <x:v>2888.72</x:v>
      </x:c>
      <x:c r="K1009" t="str">
        <x:f>XLOOKUP(B1009,Orders!A:A,Orders!E:E,"")</x:f>
        <x:v>West</x:v>
      </x:c>
      <x:c r="L1009" t="n">
        <x:f>XLOOKUP(B1009,Orders!A:A,Orders!B:B,"")</x:f>
        <x:v>45721</x:v>
      </x:c>
      <x:c r="M1009" t="str">
        <x:f>XLOOKUP(C1009,Products!A:A,Products!C:C,"")</x:f>
        <x:v>Furniture</x:v>
      </x:c>
    </x:row>
    <x:row r="1010">
      <x:c r="A1010" s="15" t="str">
        <x:v>ITEM00420_2</x:v>
      </x:c>
      <x:c r="B1010" s="15" t="str">
        <x:v>ORD00420</x:v>
      </x:c>
      <x:c r="C1010" s="15" t="str">
        <x:v>PROD003</x:v>
      </x:c>
      <x:c r="D1010" s="15" t="n">
        <x:v>8</x:v>
      </x:c>
      <x:c r="E1010" s="15" t="n">
        <x:v>10757.89</x:v>
      </x:c>
      <x:c r="F1010" s="15" t="n">
        <x:v>0</x:v>
      </x:c>
      <x:c r="G1010" s="15" t="n">
        <x:v>86063.12</x:v>
      </x:c>
      <x:c r="H1010" s="15" t="n">
        <x:v>86063.12</x:v>
      </x:c>
      <x:c r="I1010" s="15" t="n">
        <x:v>59368</x:v>
      </x:c>
      <x:c r="J1010" s="15" t="n">
        <x:v>26695.12</x:v>
      </x:c>
      <x:c r="K1010" t="str">
        <x:f>XLOOKUP(B1010,Orders!A:A,Orders!E:E,"")</x:f>
        <x:v>West</x:v>
      </x:c>
      <x:c r="L1010" t="n">
        <x:f>XLOOKUP(B1010,Orders!A:A,Orders!B:B,"")</x:f>
        <x:v>45721</x:v>
      </x:c>
      <x:c r="M1010" t="str">
        <x:f>XLOOKUP(C1010,Products!A:A,Products!C:C,"")</x:f>
        <x:v>Accessories</x:v>
      </x:c>
    </x:row>
    <x:row r="1011">
      <x:c r="A1011" s="15" t="str">
        <x:v>ITEM00420_3</x:v>
      </x:c>
      <x:c r="B1011" s="15" t="str">
        <x:v>ORD00420</x:v>
      </x:c>
      <x:c r="C1011" s="15" t="str">
        <x:v>PROD039</x:v>
      </x:c>
      <x:c r="D1011" s="15" t="n">
        <x:v>2</x:v>
      </x:c>
      <x:c r="E1011" s="15" t="n">
        <x:v>5945.62</x:v>
      </x:c>
      <x:c r="F1011" s="15" t="n">
        <x:v>0</x:v>
      </x:c>
      <x:c r="G1011" s="15" t="n">
        <x:v>11891.24</x:v>
      </x:c>
      <x:c r="H1011" s="15" t="n">
        <x:v>11891.24</x:v>
      </x:c>
      <x:c r="I1011" s="15" t="n">
        <x:v>9146</x:v>
      </x:c>
      <x:c r="J1011" s="15" t="n">
        <x:v>2745.24</x:v>
      </x:c>
      <x:c r="K1011" t="str">
        <x:f>XLOOKUP(B1011,Orders!A:A,Orders!E:E,"")</x:f>
        <x:v>West</x:v>
      </x:c>
      <x:c r="L1011" t="n">
        <x:f>XLOOKUP(B1011,Orders!A:A,Orders!B:B,"")</x:f>
        <x:v>45721</x:v>
      </x:c>
      <x:c r="M1011" t="str">
        <x:f>XLOOKUP(C1011,Products!A:A,Products!C:C,"")</x:f>
        <x:v>Office Supplies</x:v>
      </x:c>
    </x:row>
    <x:row r="1012">
      <x:c r="A1012" s="15" t="str">
        <x:v>ITEM00420_4</x:v>
      </x:c>
      <x:c r="B1012" s="15" t="str">
        <x:v>ORD00420</x:v>
      </x:c>
      <x:c r="C1012" s="15" t="str">
        <x:v>PROD012</x:v>
      </x:c>
      <x:c r="D1012" s="15" t="n">
        <x:v>1</x:v>
      </x:c>
      <x:c r="E1012" s="15" t="n">
        <x:v>7989.38</x:v>
      </x:c>
      <x:c r="F1012" s="15" t="n">
        <x:v>0</x:v>
      </x:c>
      <x:c r="G1012" s="15" t="n">
        <x:v>7989.38</x:v>
      </x:c>
      <x:c r="H1012" s="15" t="n">
        <x:v>7989.38</x:v>
      </x:c>
      <x:c r="I1012" s="15" t="n">
        <x:v>6485</x:v>
      </x:c>
      <x:c r="J1012" s="15" t="n">
        <x:v>1504.38</x:v>
      </x:c>
      <x:c r="K1012" t="str">
        <x:f>XLOOKUP(B1012,Orders!A:A,Orders!E:E,"")</x:f>
        <x:v>West</x:v>
      </x:c>
      <x:c r="L1012" t="n">
        <x:f>XLOOKUP(B1012,Orders!A:A,Orders!B:B,"")</x:f>
        <x:v>45721</x:v>
      </x:c>
      <x:c r="M1012" t="str">
        <x:f>XLOOKUP(C1012,Products!A:A,Products!C:C,"")</x:f>
        <x:v>Electronics</x:v>
      </x:c>
    </x:row>
    <x:row r="1013">
      <x:c r="A1013" s="15" t="str">
        <x:v>ITEM00421_1</x:v>
      </x:c>
      <x:c r="B1013" s="15" t="str">
        <x:v>ORD00421</x:v>
      </x:c>
      <x:c r="C1013" s="15" t="str">
        <x:v>PROD016</x:v>
      </x:c>
      <x:c r="D1013" s="15" t="n">
        <x:v>8</x:v>
      </x:c>
      <x:c r="E1013" s="15" t="n">
        <x:v>3884.33</x:v>
      </x:c>
      <x:c r="F1013" s="15" t="n">
        <x:v>0.1</x:v>
      </x:c>
      <x:c r="G1013" s="15" t="n">
        <x:v>31074.64</x:v>
      </x:c>
      <x:c r="H1013" s="15" t="n">
        <x:v>27967.18</x:v>
      </x:c>
      <x:c r="I1013" s="15" t="n">
        <x:v>24376</x:v>
      </x:c>
      <x:c r="J1013" s="15" t="n">
        <x:v>3591.18</x:v>
      </x:c>
      <x:c r="K1013" t="str">
        <x:f>XLOOKUP(B1013,Orders!A:A,Orders!E:E,"")</x:f>
        <x:v>North</x:v>
      </x:c>
      <x:c r="L1013" t="n">
        <x:f>XLOOKUP(B1013,Orders!A:A,Orders!B:B,"")</x:f>
        <x:v>46031</x:v>
      </x:c>
      <x:c r="M1013" t="str">
        <x:f>XLOOKUP(C1013,Products!A:A,Products!C:C,"")</x:f>
        <x:v>Electronics</x:v>
      </x:c>
    </x:row>
    <x:row r="1014">
      <x:c r="A1014" s="15" t="str">
        <x:v>ITEM00421_2</x:v>
      </x:c>
      <x:c r="B1014" s="15" t="str">
        <x:v>ORD00421</x:v>
      </x:c>
      <x:c r="C1014" s="15" t="str">
        <x:v>PROD024</x:v>
      </x:c>
      <x:c r="D1014" s="15" t="n">
        <x:v>1</x:v>
      </x:c>
      <x:c r="E1014" s="15" t="n">
        <x:v>4018</x:v>
      </x:c>
      <x:c r="F1014" s="15" t="n">
        <x:v>0.05</x:v>
      </x:c>
      <x:c r="G1014" s="15" t="n">
        <x:v>4018</x:v>
      </x:c>
      <x:c r="H1014" s="15" t="n">
        <x:v>3817.1</x:v>
      </x:c>
      <x:c r="I1014" s="15" t="n">
        <x:v>3192</x:v>
      </x:c>
      <x:c r="J1014" s="15" t="n">
        <x:v>625.1</x:v>
      </x:c>
      <x:c r="K1014" t="str">
        <x:f>XLOOKUP(B1014,Orders!A:A,Orders!E:E,"")</x:f>
        <x:v>North</x:v>
      </x:c>
      <x:c r="L1014" t="n">
        <x:f>XLOOKUP(B1014,Orders!A:A,Orders!B:B,"")</x:f>
        <x:v>46031</x:v>
      </x:c>
      <x:c r="M1014" t="str">
        <x:f>XLOOKUP(C1014,Products!A:A,Products!C:C,"")</x:f>
        <x:v>Furniture</x:v>
      </x:c>
    </x:row>
    <x:row r="1015">
      <x:c r="A1015" s="15" t="str">
        <x:v>ITEM00421_3</x:v>
      </x:c>
      <x:c r="B1015" s="15" t="str">
        <x:v>ORD00421</x:v>
      </x:c>
      <x:c r="C1015" s="15" t="str">
        <x:v>PROD036</x:v>
      </x:c>
      <x:c r="D1015" s="15" t="n">
        <x:v>4</x:v>
      </x:c>
      <x:c r="E1015" s="15" t="n">
        <x:v>7158.64</x:v>
      </x:c>
      <x:c r="F1015" s="15" t="n">
        <x:v>0.15</x:v>
      </x:c>
      <x:c r="G1015" s="15" t="n">
        <x:v>28634.56</x:v>
      </x:c>
      <x:c r="H1015" s="15" t="n">
        <x:v>24339.38</x:v>
      </x:c>
      <x:c r="I1015" s="15" t="n">
        <x:v>20684</x:v>
      </x:c>
      <x:c r="J1015" s="15" t="n">
        <x:v>3655.38</x:v>
      </x:c>
      <x:c r="K1015" t="str">
        <x:f>XLOOKUP(B1015,Orders!A:A,Orders!E:E,"")</x:f>
        <x:v>North</x:v>
      </x:c>
      <x:c r="L1015" t="n">
        <x:f>XLOOKUP(B1015,Orders!A:A,Orders!B:B,"")</x:f>
        <x:v>46031</x:v>
      </x:c>
      <x:c r="M1015" t="str">
        <x:f>XLOOKUP(C1015,Products!A:A,Products!C:C,"")</x:f>
        <x:v>Accessories</x:v>
      </x:c>
    </x:row>
    <x:row r="1016">
      <x:c r="A1016" s="15" t="str">
        <x:v>ITEM00421_4</x:v>
      </x:c>
      <x:c r="B1016" s="15" t="str">
        <x:v>ORD00421</x:v>
      </x:c>
      <x:c r="C1016" s="15" t="str">
        <x:v>PROD006</x:v>
      </x:c>
      <x:c r="D1016" s="15" t="n">
        <x:v>2</x:v>
      </x:c>
      <x:c r="E1016" s="15" t="n">
        <x:v>4261.26</x:v>
      </x:c>
      <x:c r="F1016" s="15" t="n">
        <x:v>0.05</x:v>
      </x:c>
      <x:c r="G1016" s="15" t="n">
        <x:v>8522.52</x:v>
      </x:c>
      <x:c r="H1016" s="15" t="n">
        <x:v>8096.39</x:v>
      </x:c>
      <x:c r="I1016" s="15" t="n">
        <x:v>6134</x:v>
      </x:c>
      <x:c r="J1016" s="15" t="n">
        <x:v>1962.39</x:v>
      </x:c>
      <x:c r="K1016" t="str">
        <x:f>XLOOKUP(B1016,Orders!A:A,Orders!E:E,"")</x:f>
        <x:v>North</x:v>
      </x:c>
      <x:c r="L1016" t="n">
        <x:f>XLOOKUP(B1016,Orders!A:A,Orders!B:B,"")</x:f>
        <x:v>46031</x:v>
      </x:c>
      <x:c r="M1016" t="str">
        <x:f>XLOOKUP(C1016,Products!A:A,Products!C:C,"")</x:f>
        <x:v>Office Supplies</x:v>
      </x:c>
    </x:row>
    <x:row r="1017">
      <x:c r="A1017" s="15" t="str">
        <x:v>ITEM00422_1</x:v>
      </x:c>
      <x:c r="B1017" s="15" t="str">
        <x:v>ORD00422</x:v>
      </x:c>
      <x:c r="C1017" s="15" t="str">
        <x:v>PROD008</x:v>
      </x:c>
      <x:c r="D1017" s="15" t="n">
        <x:v>1</x:v>
      </x:c>
      <x:c r="E1017" s="15" t="n">
        <x:v>8534.48</x:v>
      </x:c>
      <x:c r="F1017" s="15" t="n">
        <x:v>0</x:v>
      </x:c>
      <x:c r="G1017" s="15" t="n">
        <x:v>8534.48</x:v>
      </x:c>
      <x:c r="H1017" s="15" t="n">
        <x:v>8534.48</x:v>
      </x:c>
      <x:c r="I1017" s="15" t="n">
        <x:v>6197</x:v>
      </x:c>
      <x:c r="J1017" s="15" t="n">
        <x:v>2337.48</x:v>
      </x:c>
      <x:c r="K1017" t="str">
        <x:f>XLOOKUP(B1017,Orders!A:A,Orders!E:E,"")</x:f>
        <x:v>East</x:v>
      </x:c>
      <x:c r="L1017" t="n">
        <x:f>XLOOKUP(B1017,Orders!A:A,Orders!B:B,"")</x:f>
        <x:v>45731</x:v>
      </x:c>
      <x:c r="M1017" t="str">
        <x:f>XLOOKUP(C1017,Products!A:A,Products!C:C,"")</x:f>
        <x:v>Office Supplies</x:v>
      </x:c>
    </x:row>
    <x:row r="1018">
      <x:c r="A1018" s="15" t="str">
        <x:v>ITEM00423_1</x:v>
      </x:c>
      <x:c r="B1018" s="15" t="str">
        <x:v>ORD00423</x:v>
      </x:c>
      <x:c r="C1018" s="15" t="str">
        <x:v>PROD030</x:v>
      </x:c>
      <x:c r="D1018" s="15" t="n">
        <x:v>5</x:v>
      </x:c>
      <x:c r="E1018" s="15" t="n">
        <x:v>5180.7</x:v>
      </x:c>
      <x:c r="F1018" s="15" t="n">
        <x:v>0</x:v>
      </x:c>
      <x:c r="G1018" s="15" t="n">
        <x:v>25903.5</x:v>
      </x:c>
      <x:c r="H1018" s="15" t="n">
        <x:v>25903.5</x:v>
      </x:c>
      <x:c r="I1018" s="15" t="n">
        <x:v>19440</x:v>
      </x:c>
      <x:c r="J1018" s="15" t="n">
        <x:v>6463.5</x:v>
      </x:c>
      <x:c r="K1018" t="str">
        <x:f>XLOOKUP(B1018,Orders!A:A,Orders!E:E,"")</x:f>
        <x:v>East</x:v>
      </x:c>
      <x:c r="L1018" t="n">
        <x:f>XLOOKUP(B1018,Orders!A:A,Orders!B:B,"")</x:f>
        <x:v>46078</x:v>
      </x:c>
      <x:c r="M1018" t="str">
        <x:f>XLOOKUP(C1018,Products!A:A,Products!C:C,"")</x:f>
        <x:v>Office Supplies</x:v>
      </x:c>
    </x:row>
    <x:row r="1019">
      <x:c r="A1019" s="15" t="str">
        <x:v>ITEM00423_2</x:v>
      </x:c>
      <x:c r="B1019" s="15" t="str">
        <x:v>ORD00423</x:v>
      </x:c>
      <x:c r="C1019" s="15" t="str">
        <x:v>PROD013</x:v>
      </x:c>
      <x:c r="D1019" s="15" t="n">
        <x:v>1</x:v>
      </x:c>
      <x:c r="E1019" s="15" t="n">
        <x:v>7614.02</x:v>
      </x:c>
      <x:c r="F1019" s="15" t="n">
        <x:v>0.1</x:v>
      </x:c>
      <x:c r="G1019" s="15" t="n">
        <x:v>7614.02</x:v>
      </x:c>
      <x:c r="H1019" s="15" t="n">
        <x:v>6852.62</x:v>
      </x:c>
      <x:c r="I1019" s="15" t="n">
        <x:v>6077</x:v>
      </x:c>
      <x:c r="J1019" s="15" t="n">
        <x:v>775.62</x:v>
      </x:c>
      <x:c r="K1019" t="str">
        <x:f>XLOOKUP(B1019,Orders!A:A,Orders!E:E,"")</x:f>
        <x:v>East</x:v>
      </x:c>
      <x:c r="L1019" t="n">
        <x:f>XLOOKUP(B1019,Orders!A:A,Orders!B:B,"")</x:f>
        <x:v>46078</x:v>
      </x:c>
      <x:c r="M1019" t="str">
        <x:f>XLOOKUP(C1019,Products!A:A,Products!C:C,"")</x:f>
        <x:v>Furniture</x:v>
      </x:c>
    </x:row>
    <x:row r="1020">
      <x:c r="A1020" s="15" t="str">
        <x:v>ITEM00424_1</x:v>
      </x:c>
      <x:c r="B1020" s="15" t="str">
        <x:v>ORD00424</x:v>
      </x:c>
      <x:c r="C1020" s="15" t="str">
        <x:v>PROD037</x:v>
      </x:c>
      <x:c r="D1020" s="15" t="n">
        <x:v>1</x:v>
      </x:c>
      <x:c r="E1020" s="15" t="n">
        <x:v>9876.8</x:v>
      </x:c>
      <x:c r="F1020" s="15" t="n">
        <x:v>0.15</x:v>
      </x:c>
      <x:c r="G1020" s="15" t="n">
        <x:v>9876.8</x:v>
      </x:c>
      <x:c r="H1020" s="15" t="n">
        <x:v>8395.28</x:v>
      </x:c>
      <x:c r="I1020" s="15" t="n">
        <x:v>7124</x:v>
      </x:c>
      <x:c r="J1020" s="15" t="n">
        <x:v>1271.28</x:v>
      </x:c>
      <x:c r="K1020" t="str">
        <x:f>XLOOKUP(B1020,Orders!A:A,Orders!E:E,"")</x:f>
        <x:v>East</x:v>
      </x:c>
      <x:c r="L1020" t="n">
        <x:f>XLOOKUP(B1020,Orders!A:A,Orders!B:B,"")</x:f>
        <x:v>46018</x:v>
      </x:c>
      <x:c r="M1020" t="str">
        <x:f>XLOOKUP(C1020,Products!A:A,Products!C:C,"")</x:f>
        <x:v>Accessories</x:v>
      </x:c>
    </x:row>
    <x:row r="1021">
      <x:c r="A1021" s="15" t="str">
        <x:v>ITEM00424_2</x:v>
      </x:c>
      <x:c r="B1021" s="15" t="str">
        <x:v>ORD00424</x:v>
      </x:c>
      <x:c r="C1021" s="15" t="str">
        <x:v>PROD030</x:v>
      </x:c>
      <x:c r="D1021" s="15" t="n">
        <x:v>6</x:v>
      </x:c>
      <x:c r="E1021" s="15" t="n">
        <x:v>5180.7</x:v>
      </x:c>
      <x:c r="F1021" s="15" t="n">
        <x:v>0.05</x:v>
      </x:c>
      <x:c r="G1021" s="15" t="n">
        <x:v>31084.2</x:v>
      </x:c>
      <x:c r="H1021" s="15" t="n">
        <x:v>29529.99</x:v>
      </x:c>
      <x:c r="I1021" s="15" t="n">
        <x:v>23328</x:v>
      </x:c>
      <x:c r="J1021" s="15" t="n">
        <x:v>6201.99</x:v>
      </x:c>
      <x:c r="K1021" t="str">
        <x:f>XLOOKUP(B1021,Orders!A:A,Orders!E:E,"")</x:f>
        <x:v>East</x:v>
      </x:c>
      <x:c r="L1021" t="n">
        <x:f>XLOOKUP(B1021,Orders!A:A,Orders!B:B,"")</x:f>
        <x:v>46018</x:v>
      </x:c>
      <x:c r="M1021" t="str">
        <x:f>XLOOKUP(C1021,Products!A:A,Products!C:C,"")</x:f>
        <x:v>Office Supplies</x:v>
      </x:c>
    </x:row>
    <x:row r="1022">
      <x:c r="A1022" s="15" t="str">
        <x:v>ITEM00424_3</x:v>
      </x:c>
      <x:c r="B1022" s="15" t="str">
        <x:v>ORD00424</x:v>
      </x:c>
      <x:c r="C1022" s="15" t="str">
        <x:v>PROD003</x:v>
      </x:c>
      <x:c r="D1022" s="15" t="n">
        <x:v>7</x:v>
      </x:c>
      <x:c r="E1022" s="15" t="n">
        <x:v>10757.89</x:v>
      </x:c>
      <x:c r="F1022" s="15" t="n">
        <x:v>0.15</x:v>
      </x:c>
      <x:c r="G1022" s="15" t="n">
        <x:v>75305.23</x:v>
      </x:c>
      <x:c r="H1022" s="15" t="n">
        <x:v>64009.45</x:v>
      </x:c>
      <x:c r="I1022" s="15" t="n">
        <x:v>51947</x:v>
      </x:c>
      <x:c r="J1022" s="15" t="n">
        <x:v>12062.45</x:v>
      </x:c>
      <x:c r="K1022" t="str">
        <x:f>XLOOKUP(B1022,Orders!A:A,Orders!E:E,"")</x:f>
        <x:v>East</x:v>
      </x:c>
      <x:c r="L1022" t="n">
        <x:f>XLOOKUP(B1022,Orders!A:A,Orders!B:B,"")</x:f>
        <x:v>46018</x:v>
      </x:c>
      <x:c r="M1022" t="str">
        <x:f>XLOOKUP(C1022,Products!A:A,Products!C:C,"")</x:f>
        <x:v>Accessories</x:v>
      </x:c>
    </x:row>
    <x:row r="1023">
      <x:c r="A1023" s="15" t="str">
        <x:v>ITEM00425_1</x:v>
      </x:c>
      <x:c r="B1023" s="15" t="str">
        <x:v>ORD00425</x:v>
      </x:c>
      <x:c r="C1023" s="15" t="str">
        <x:v>PROD032</x:v>
      </x:c>
      <x:c r="D1023" s="15" t="n">
        <x:v>4</x:v>
      </x:c>
      <x:c r="E1023" s="15" t="n">
        <x:v>6307.06</x:v>
      </x:c>
      <x:c r="F1023" s="15" t="n">
        <x:v>0.05</x:v>
      </x:c>
      <x:c r="G1023" s="15" t="n">
        <x:v>25228.24</x:v>
      </x:c>
      <x:c r="H1023" s="15" t="n">
        <x:v>23966.83</x:v>
      </x:c>
      <x:c r="I1023" s="15" t="n">
        <x:v>20308</x:v>
      </x:c>
      <x:c r="J1023" s="15" t="n">
        <x:v>3658.83</x:v>
      </x:c>
      <x:c r="K1023" t="str">
        <x:f>XLOOKUP(B1023,Orders!A:A,Orders!E:E,"")</x:f>
        <x:v>South</x:v>
      </x:c>
      <x:c r="L1023" t="n">
        <x:f>XLOOKUP(B1023,Orders!A:A,Orders!B:B,"")</x:f>
        <x:v>45899</x:v>
      </x:c>
      <x:c r="M1023" t="str">
        <x:f>XLOOKUP(C1023,Products!A:A,Products!C:C,"")</x:f>
        <x:v>Electronics</x:v>
      </x:c>
    </x:row>
    <x:row r="1024">
      <x:c r="A1024" s="15" t="str">
        <x:v>ITEM00425_2</x:v>
      </x:c>
      <x:c r="B1024" s="15" t="str">
        <x:v>ORD00425</x:v>
      </x:c>
      <x:c r="C1024" s="15" t="str">
        <x:v>PROD006</x:v>
      </x:c>
      <x:c r="D1024" s="15" t="n">
        <x:v>1</x:v>
      </x:c>
      <x:c r="E1024" s="15" t="n">
        <x:v>4261.26</x:v>
      </x:c>
      <x:c r="F1024" s="15" t="n">
        <x:v>0.15</x:v>
      </x:c>
      <x:c r="G1024" s="15" t="n">
        <x:v>4261.26</x:v>
      </x:c>
      <x:c r="H1024" s="15" t="n">
        <x:v>3622.07</x:v>
      </x:c>
      <x:c r="I1024" s="15" t="n">
        <x:v>3067</x:v>
      </x:c>
      <x:c r="J1024" s="15" t="n">
        <x:v>555.07</x:v>
      </x:c>
      <x:c r="K1024" t="str">
        <x:f>XLOOKUP(B1024,Orders!A:A,Orders!E:E,"")</x:f>
        <x:v>South</x:v>
      </x:c>
      <x:c r="L1024" t="n">
        <x:f>XLOOKUP(B1024,Orders!A:A,Orders!B:B,"")</x:f>
        <x:v>45899</x:v>
      </x:c>
      <x:c r="M1024" t="str">
        <x:f>XLOOKUP(C1024,Products!A:A,Products!C:C,"")</x:f>
        <x:v>Office Supplies</x:v>
      </x:c>
    </x:row>
    <x:row r="1025">
      <x:c r="A1025" s="15" t="str">
        <x:v>ITEM00426_1</x:v>
      </x:c>
      <x:c r="B1025" s="15" t="str">
        <x:v>ORD00426</x:v>
      </x:c>
      <x:c r="C1025" s="15" t="str">
        <x:v>PROD032</x:v>
      </x:c>
      <x:c r="D1025" s="15" t="n">
        <x:v>1</x:v>
      </x:c>
      <x:c r="E1025" s="15" t="n">
        <x:v>6307.06</x:v>
      </x:c>
      <x:c r="F1025" s="15" t="n">
        <x:v>0</x:v>
      </x:c>
      <x:c r="G1025" s="15" t="n">
        <x:v>6307.06</x:v>
      </x:c>
      <x:c r="H1025" s="15" t="n">
        <x:v>6307.06</x:v>
      </x:c>
      <x:c r="I1025" s="15" t="n">
        <x:v>5077</x:v>
      </x:c>
      <x:c r="J1025" s="15" t="n">
        <x:v>1230.06</x:v>
      </x:c>
      <x:c r="K1025" t="str">
        <x:f>XLOOKUP(B1025,Orders!A:A,Orders!E:E,"")</x:f>
        <x:v>South</x:v>
      </x:c>
      <x:c r="L1025" t="n">
        <x:f>XLOOKUP(B1025,Orders!A:A,Orders!B:B,"")</x:f>
        <x:v>46173</x:v>
      </x:c>
      <x:c r="M1025" t="str">
        <x:f>XLOOKUP(C1025,Products!A:A,Products!C:C,"")</x:f>
        <x:v>Electronics</x:v>
      </x:c>
    </x:row>
    <x:row r="1026">
      <x:c r="A1026" s="15" t="str">
        <x:v>ITEM00426_2</x:v>
      </x:c>
      <x:c r="B1026" s="15" t="str">
        <x:v>ORD00426</x:v>
      </x:c>
      <x:c r="C1026" s="15" t="str">
        <x:v>PROD025</x:v>
      </x:c>
      <x:c r="D1026" s="15" t="n">
        <x:v>6</x:v>
      </x:c>
      <x:c r="E1026" s="15" t="n">
        <x:v>1148.84</x:v>
      </x:c>
      <x:c r="F1026" s="15" t="n">
        <x:v>0</x:v>
      </x:c>
      <x:c r="G1026" s="15" t="n">
        <x:v>6893.04</x:v>
      </x:c>
      <x:c r="H1026" s="15" t="n">
        <x:v>6893.04</x:v>
      </x:c>
      <x:c r="I1026" s="15" t="n">
        <x:v>5268</x:v>
      </x:c>
      <x:c r="J1026" s="15" t="n">
        <x:v>1625.04</x:v>
      </x:c>
      <x:c r="K1026" t="str">
        <x:f>XLOOKUP(B1026,Orders!A:A,Orders!E:E,"")</x:f>
        <x:v>South</x:v>
      </x:c>
      <x:c r="L1026" t="n">
        <x:f>XLOOKUP(B1026,Orders!A:A,Orders!B:B,"")</x:f>
        <x:v>46173</x:v>
      </x:c>
      <x:c r="M1026" t="str">
        <x:f>XLOOKUP(C1026,Products!A:A,Products!C:C,"")</x:f>
        <x:v>Furniture</x:v>
      </x:c>
    </x:row>
    <x:row r="1027">
      <x:c r="A1027" s="15" t="str">
        <x:v>ITEM00427_1</x:v>
      </x:c>
      <x:c r="B1027" s="15" t="str">
        <x:v>ORD00427</x:v>
      </x:c>
      <x:c r="C1027" s="15" t="str">
        <x:v>PROD006</x:v>
      </x:c>
      <x:c r="D1027" s="15" t="n">
        <x:v>1</x:v>
      </x:c>
      <x:c r="E1027" s="15" t="n">
        <x:v>4261.26</x:v>
      </x:c>
      <x:c r="F1027" s="15" t="n">
        <x:v>0</x:v>
      </x:c>
      <x:c r="G1027" s="15" t="n">
        <x:v>4261.26</x:v>
      </x:c>
      <x:c r="H1027" s="15" t="n">
        <x:v>4261.26</x:v>
      </x:c>
      <x:c r="I1027" s="15" t="n">
        <x:v>3067</x:v>
      </x:c>
      <x:c r="J1027" s="15" t="n">
        <x:v>1194.26</x:v>
      </x:c>
      <x:c r="K1027" t="str">
        <x:f>XLOOKUP(B1027,Orders!A:A,Orders!E:E,"")</x:f>
        <x:v>South</x:v>
      </x:c>
      <x:c r="L1027" t="n">
        <x:f>XLOOKUP(B1027,Orders!A:A,Orders!B:B,"")</x:f>
        <x:v>45818</x:v>
      </x:c>
      <x:c r="M1027" t="str">
        <x:f>XLOOKUP(C1027,Products!A:A,Products!C:C,"")</x:f>
        <x:v>Office Supplies</x:v>
      </x:c>
    </x:row>
    <x:row r="1028">
      <x:c r="A1028" s="15" t="str">
        <x:v>ITEM00427_2</x:v>
      </x:c>
      <x:c r="B1028" s="15" t="str">
        <x:v>ORD00427</x:v>
      </x:c>
      <x:c r="C1028" s="15" t="str">
        <x:v>PROD007</x:v>
      </x:c>
      <x:c r="D1028" s="15" t="n">
        <x:v>4</x:v>
      </x:c>
      <x:c r="E1028" s="15" t="n">
        <x:v>5013.07</x:v>
      </x:c>
      <x:c r="F1028" s="15" t="n">
        <x:v>0</x:v>
      </x:c>
      <x:c r="G1028" s="15" t="n">
        <x:v>20052.28</x:v>
      </x:c>
      <x:c r="H1028" s="15" t="n">
        <x:v>20052.28</x:v>
      </x:c>
      <x:c r="I1028" s="15" t="n">
        <x:v>15764</x:v>
      </x:c>
      <x:c r="J1028" s="15" t="n">
        <x:v>4288.28</x:v>
      </x:c>
      <x:c r="K1028" t="str">
        <x:f>XLOOKUP(B1028,Orders!A:A,Orders!E:E,"")</x:f>
        <x:v>South</x:v>
      </x:c>
      <x:c r="L1028" t="n">
        <x:f>XLOOKUP(B1028,Orders!A:A,Orders!B:B,"")</x:f>
        <x:v>45818</x:v>
      </x:c>
      <x:c r="M1028" t="str">
        <x:f>XLOOKUP(C1028,Products!A:A,Products!C:C,"")</x:f>
        <x:v>Electronics</x:v>
      </x:c>
    </x:row>
    <x:row r="1029">
      <x:c r="A1029" s="15" t="str">
        <x:v>ITEM00427_3</x:v>
      </x:c>
      <x:c r="B1029" s="15" t="str">
        <x:v>ORD00427</x:v>
      </x:c>
      <x:c r="C1029" s="15" t="str">
        <x:v>PROD013</x:v>
      </x:c>
      <x:c r="D1029" s="15" t="n">
        <x:v>1</x:v>
      </x:c>
      <x:c r="E1029" s="15" t="n">
        <x:v>7614.02</x:v>
      </x:c>
      <x:c r="F1029" s="15" t="n">
        <x:v>0.05</x:v>
      </x:c>
      <x:c r="G1029" s="15" t="n">
        <x:v>7614.02</x:v>
      </x:c>
      <x:c r="H1029" s="15" t="n">
        <x:v>7233.32</x:v>
      </x:c>
      <x:c r="I1029" s="15" t="n">
        <x:v>6077</x:v>
      </x:c>
      <x:c r="J1029" s="15" t="n">
        <x:v>1156.32</x:v>
      </x:c>
      <x:c r="K1029" t="str">
        <x:f>XLOOKUP(B1029,Orders!A:A,Orders!E:E,"")</x:f>
        <x:v>South</x:v>
      </x:c>
      <x:c r="L1029" t="n">
        <x:f>XLOOKUP(B1029,Orders!A:A,Orders!B:B,"")</x:f>
        <x:v>45818</x:v>
      </x:c>
      <x:c r="M1029" t="str">
        <x:f>XLOOKUP(C1029,Products!A:A,Products!C:C,"")</x:f>
        <x:v>Furniture</x:v>
      </x:c>
    </x:row>
    <x:row r="1030">
      <x:c r="A1030" s="15" t="str">
        <x:v>ITEM00428_1</x:v>
      </x:c>
      <x:c r="B1030" s="15" t="str">
        <x:v>ORD00428</x:v>
      </x:c>
      <x:c r="C1030" s="15" t="str">
        <x:v>PROD036</x:v>
      </x:c>
      <x:c r="D1030" s="15" t="n">
        <x:v>2</x:v>
      </x:c>
      <x:c r="E1030" s="15" t="n">
        <x:v>7158.64</x:v>
      </x:c>
      <x:c r="F1030" s="15" t="n">
        <x:v>0</x:v>
      </x:c>
      <x:c r="G1030" s="15" t="n">
        <x:v>14317.28</x:v>
      </x:c>
      <x:c r="H1030" s="15" t="n">
        <x:v>14317.28</x:v>
      </x:c>
      <x:c r="I1030" s="15" t="n">
        <x:v>10342</x:v>
      </x:c>
      <x:c r="J1030" s="15" t="n">
        <x:v>3975.28</x:v>
      </x:c>
      <x:c r="K1030" t="str">
        <x:f>XLOOKUP(B1030,Orders!A:A,Orders!E:E,"")</x:f>
        <x:v>North</x:v>
      </x:c>
      <x:c r="L1030" t="n">
        <x:f>XLOOKUP(B1030,Orders!A:A,Orders!B:B,"")</x:f>
        <x:v>46159</x:v>
      </x:c>
      <x:c r="M1030" t="str">
        <x:f>XLOOKUP(C1030,Products!A:A,Products!C:C,"")</x:f>
        <x:v>Accessories</x:v>
      </x:c>
    </x:row>
    <x:row r="1031">
      <x:c r="A1031" s="15" t="str">
        <x:v>ITEM00428_2</x:v>
      </x:c>
      <x:c r="B1031" s="15" t="str">
        <x:v>ORD00428</x:v>
      </x:c>
      <x:c r="C1031" s="15" t="str">
        <x:v>PROD003</x:v>
      </x:c>
      <x:c r="D1031" s="15" t="n">
        <x:v>3</x:v>
      </x:c>
      <x:c r="E1031" s="15" t="n">
        <x:v>10757.89</x:v>
      </x:c>
      <x:c r="F1031" s="15" t="n">
        <x:v>0</x:v>
      </x:c>
      <x:c r="G1031" s="15" t="n">
        <x:v>32273.67</x:v>
      </x:c>
      <x:c r="H1031" s="15" t="n">
        <x:v>32273.67</x:v>
      </x:c>
      <x:c r="I1031" s="15" t="n">
        <x:v>22263</x:v>
      </x:c>
      <x:c r="J1031" s="15" t="n">
        <x:v>10010.67</x:v>
      </x:c>
      <x:c r="K1031" t="str">
        <x:f>XLOOKUP(B1031,Orders!A:A,Orders!E:E,"")</x:f>
        <x:v>North</x:v>
      </x:c>
      <x:c r="L1031" t="n">
        <x:f>XLOOKUP(B1031,Orders!A:A,Orders!B:B,"")</x:f>
        <x:v>46159</x:v>
      </x:c>
      <x:c r="M1031" t="str">
        <x:f>XLOOKUP(C1031,Products!A:A,Products!C:C,"")</x:f>
        <x:v>Accessories</x:v>
      </x:c>
    </x:row>
    <x:row r="1032">
      <x:c r="A1032" s="15" t="str">
        <x:v>ITEM00428_3</x:v>
      </x:c>
      <x:c r="B1032" s="15" t="str">
        <x:v>ORD00428</x:v>
      </x:c>
      <x:c r="C1032" s="15" t="str">
        <x:v>PROD026</x:v>
      </x:c>
      <x:c r="D1032" s="15" t="n">
        <x:v>6</x:v>
      </x:c>
      <x:c r="E1032" s="15" t="n">
        <x:v>3848.69</x:v>
      </x:c>
      <x:c r="F1032" s="15" t="n">
        <x:v>0</x:v>
      </x:c>
      <x:c r="G1032" s="15" t="n">
        <x:v>23092.14</x:v>
      </x:c>
      <x:c r="H1032" s="15" t="n">
        <x:v>23092.14</x:v>
      </x:c>
      <x:c r="I1032" s="15" t="n">
        <x:v>15804</x:v>
      </x:c>
      <x:c r="J1032" s="15" t="n">
        <x:v>7288.14</x:v>
      </x:c>
      <x:c r="K1032" t="str">
        <x:f>XLOOKUP(B1032,Orders!A:A,Orders!E:E,"")</x:f>
        <x:v>North</x:v>
      </x:c>
      <x:c r="L1032" t="n">
        <x:f>XLOOKUP(B1032,Orders!A:A,Orders!B:B,"")</x:f>
        <x:v>46159</x:v>
      </x:c>
      <x:c r="M1032" t="str">
        <x:f>XLOOKUP(C1032,Products!A:A,Products!C:C,"")</x:f>
        <x:v>Accessories</x:v>
      </x:c>
    </x:row>
    <x:row r="1033">
      <x:c r="A1033" s="15" t="str">
        <x:v>ITEM00428_4</x:v>
      </x:c>
      <x:c r="B1033" s="15" t="str">
        <x:v>ORD00428</x:v>
      </x:c>
      <x:c r="C1033" s="15" t="str">
        <x:v>PROD036</x:v>
      </x:c>
      <x:c r="D1033" s="15" t="n">
        <x:v>7</x:v>
      </x:c>
      <x:c r="E1033" s="15" t="n">
        <x:v>7158.64</x:v>
      </x:c>
      <x:c r="F1033" s="15" t="n">
        <x:v>0.05</x:v>
      </x:c>
      <x:c r="G1033" s="15" t="n">
        <x:v>50110.48</x:v>
      </x:c>
      <x:c r="H1033" s="15" t="n">
        <x:v>47604.96</x:v>
      </x:c>
      <x:c r="I1033" s="15" t="n">
        <x:v>36197</x:v>
      </x:c>
      <x:c r="J1033" s="15" t="n">
        <x:v>11407.96</x:v>
      </x:c>
      <x:c r="K1033" t="str">
        <x:f>XLOOKUP(B1033,Orders!A:A,Orders!E:E,"")</x:f>
        <x:v>North</x:v>
      </x:c>
      <x:c r="L1033" t="n">
        <x:f>XLOOKUP(B1033,Orders!A:A,Orders!B:B,"")</x:f>
        <x:v>46159</x:v>
      </x:c>
      <x:c r="M1033" t="str">
        <x:f>XLOOKUP(C1033,Products!A:A,Products!C:C,"")</x:f>
        <x:v>Accessories</x:v>
      </x:c>
    </x:row>
    <x:row r="1034">
      <x:c r="A1034" s="15" t="str">
        <x:v>ITEM00429_1</x:v>
      </x:c>
      <x:c r="B1034" s="15" t="str">
        <x:v>ORD00429</x:v>
      </x:c>
      <x:c r="C1034" s="15" t="str">
        <x:v>PROD030</x:v>
      </x:c>
      <x:c r="D1034" s="15" t="n">
        <x:v>5</x:v>
      </x:c>
      <x:c r="E1034" s="15" t="n">
        <x:v>5180.7</x:v>
      </x:c>
      <x:c r="F1034" s="15" t="n">
        <x:v>0</x:v>
      </x:c>
      <x:c r="G1034" s="15" t="n">
        <x:v>25903.5</x:v>
      </x:c>
      <x:c r="H1034" s="15" t="n">
        <x:v>25903.5</x:v>
      </x:c>
      <x:c r="I1034" s="15" t="n">
        <x:v>19440</x:v>
      </x:c>
      <x:c r="J1034" s="15" t="n">
        <x:v>6463.5</x:v>
      </x:c>
      <x:c r="K1034" t="str">
        <x:f>XLOOKUP(B1034,Orders!A:A,Orders!E:E,"")</x:f>
        <x:v>North</x:v>
      </x:c>
      <x:c r="L1034" t="n">
        <x:f>XLOOKUP(B1034,Orders!A:A,Orders!B:B,"")</x:f>
        <x:v>46132</x:v>
      </x:c>
      <x:c r="M1034" t="str">
        <x:f>XLOOKUP(C1034,Products!A:A,Products!C:C,"")</x:f>
        <x:v>Office Supplies</x:v>
      </x:c>
    </x:row>
    <x:row r="1035">
      <x:c r="A1035" s="15" t="str">
        <x:v>ITEM00429_2</x:v>
      </x:c>
      <x:c r="B1035" s="15" t="str">
        <x:v>ORD00429</x:v>
      </x:c>
      <x:c r="C1035" s="15" t="str">
        <x:v>PROD017</x:v>
      </x:c>
      <x:c r="D1035" s="15" t="n">
        <x:v>8</x:v>
      </x:c>
      <x:c r="E1035" s="15" t="n">
        <x:v>7311.62</x:v>
      </x:c>
      <x:c r="F1035" s="15" t="n">
        <x:v>0.15</x:v>
      </x:c>
      <x:c r="G1035" s="15" t="n">
        <x:v>58492.96</x:v>
      </x:c>
      <x:c r="H1035" s="15" t="n">
        <x:v>49719.02</x:v>
      </x:c>
      <x:c r="I1035" s="15" t="n">
        <x:v>42064</x:v>
      </x:c>
      <x:c r="J1035" s="15" t="n">
        <x:v>7655.02</x:v>
      </x:c>
      <x:c r="K1035" t="str">
        <x:f>XLOOKUP(B1035,Orders!A:A,Orders!E:E,"")</x:f>
        <x:v>North</x:v>
      </x:c>
      <x:c r="L1035" t="n">
        <x:f>XLOOKUP(B1035,Orders!A:A,Orders!B:B,"")</x:f>
        <x:v>46132</x:v>
      </x:c>
      <x:c r="M1035" t="str">
        <x:f>XLOOKUP(C1035,Products!A:A,Products!C:C,"")</x:f>
        <x:v>Accessories</x:v>
      </x:c>
    </x:row>
    <x:row r="1036">
      <x:c r="A1036" s="15" t="str">
        <x:v>ITEM00429_3</x:v>
      </x:c>
      <x:c r="B1036" s="15" t="str">
        <x:v>ORD00429</x:v>
      </x:c>
      <x:c r="C1036" s="15" t="str">
        <x:v>PROD013</x:v>
      </x:c>
      <x:c r="D1036" s="15" t="n">
        <x:v>6</x:v>
      </x:c>
      <x:c r="E1036" s="15" t="n">
        <x:v>7614.02</x:v>
      </x:c>
      <x:c r="F1036" s="15" t="n">
        <x:v>0.05</x:v>
      </x:c>
      <x:c r="G1036" s="15" t="n">
        <x:v>45684.12</x:v>
      </x:c>
      <x:c r="H1036" s="15" t="n">
        <x:v>43399.91</x:v>
      </x:c>
      <x:c r="I1036" s="15" t="n">
        <x:v>36462</x:v>
      </x:c>
      <x:c r="J1036" s="15" t="n">
        <x:v>6937.91</x:v>
      </x:c>
      <x:c r="K1036" t="str">
        <x:f>XLOOKUP(B1036,Orders!A:A,Orders!E:E,"")</x:f>
        <x:v>North</x:v>
      </x:c>
      <x:c r="L1036" t="n">
        <x:f>XLOOKUP(B1036,Orders!A:A,Orders!B:B,"")</x:f>
        <x:v>46132</x:v>
      </x:c>
      <x:c r="M1036" t="str">
        <x:f>XLOOKUP(C1036,Products!A:A,Products!C:C,"")</x:f>
        <x:v>Furniture</x:v>
      </x:c>
    </x:row>
    <x:row r="1037">
      <x:c r="A1037" s="15" t="str">
        <x:v>ITEM00429_4</x:v>
      </x:c>
      <x:c r="B1037" s="15" t="str">
        <x:v>ORD00429</x:v>
      </x:c>
      <x:c r="C1037" s="15" t="str">
        <x:v>PROD030</x:v>
      </x:c>
      <x:c r="D1037" s="15" t="n">
        <x:v>8</x:v>
      </x:c>
      <x:c r="E1037" s="15" t="n">
        <x:v>5180.7</x:v>
      </x:c>
      <x:c r="F1037" s="15" t="n">
        <x:v>0.05</x:v>
      </x:c>
      <x:c r="G1037" s="15" t="n">
        <x:v>41445.6</x:v>
      </x:c>
      <x:c r="H1037" s="15" t="n">
        <x:v>39373.32</x:v>
      </x:c>
      <x:c r="I1037" s="15" t="n">
        <x:v>31104</x:v>
      </x:c>
      <x:c r="J1037" s="15" t="n">
        <x:v>8269.32</x:v>
      </x:c>
      <x:c r="K1037" t="str">
        <x:f>XLOOKUP(B1037,Orders!A:A,Orders!E:E,"")</x:f>
        <x:v>North</x:v>
      </x:c>
      <x:c r="L1037" t="n">
        <x:f>XLOOKUP(B1037,Orders!A:A,Orders!B:B,"")</x:f>
        <x:v>46132</x:v>
      </x:c>
      <x:c r="M1037" t="str">
        <x:f>XLOOKUP(C1037,Products!A:A,Products!C:C,"")</x:f>
        <x:v>Office Supplies</x:v>
      </x:c>
    </x:row>
    <x:row r="1038">
      <x:c r="A1038" s="15" t="str">
        <x:v>ITEM00430_1</x:v>
      </x:c>
      <x:c r="B1038" s="15" t="str">
        <x:v>ORD00430</x:v>
      </x:c>
      <x:c r="C1038" s="15" t="str">
        <x:v>PROD010</x:v>
      </x:c>
      <x:c r="D1038" s="15" t="n">
        <x:v>2</x:v>
      </x:c>
      <x:c r="E1038" s="15" t="n">
        <x:v>8670.63</x:v>
      </x:c>
      <x:c r="F1038" s="15" t="n">
        <x:v>0.15</x:v>
      </x:c>
      <x:c r="G1038" s="15" t="n">
        <x:v>17341.26</x:v>
      </x:c>
      <x:c r="H1038" s="15" t="n">
        <x:v>14740.07</x:v>
      </x:c>
      <x:c r="I1038" s="15" t="n">
        <x:v>11706</x:v>
      </x:c>
      <x:c r="J1038" s="15" t="n">
        <x:v>3034.07</x:v>
      </x:c>
      <x:c r="K1038" t="str">
        <x:f>XLOOKUP(B1038,Orders!A:A,Orders!E:E,"")</x:f>
        <x:v>East</x:v>
      </x:c>
      <x:c r="L1038" t="n">
        <x:f>XLOOKUP(B1038,Orders!A:A,Orders!B:B,"")</x:f>
        <x:v>45786</x:v>
      </x:c>
      <x:c r="M1038" t="str">
        <x:f>XLOOKUP(C1038,Products!A:A,Products!C:C,"")</x:f>
        <x:v>Accessories</x:v>
      </x:c>
    </x:row>
    <x:row r="1039">
      <x:c r="A1039" s="15" t="str">
        <x:v>ITEM00430_2</x:v>
      </x:c>
      <x:c r="B1039" s="15" t="str">
        <x:v>ORD00430</x:v>
      </x:c>
      <x:c r="C1039" s="15" t="str">
        <x:v>PROD020</x:v>
      </x:c>
      <x:c r="D1039" s="15" t="n">
        <x:v>7</x:v>
      </x:c>
      <x:c r="E1039" s="15" t="n">
        <x:v>6564.04</x:v>
      </x:c>
      <x:c r="F1039" s="15" t="n">
        <x:v>0.05</x:v>
      </x:c>
      <x:c r="G1039" s="15" t="n">
        <x:v>45948.28</x:v>
      </x:c>
      <x:c r="H1039" s="15" t="n">
        <x:v>43650.87</x:v>
      </x:c>
      <x:c r="I1039" s="15" t="n">
        <x:v>32095</x:v>
      </x:c>
      <x:c r="J1039" s="15" t="n">
        <x:v>11555.87</x:v>
      </x:c>
      <x:c r="K1039" t="str">
        <x:f>XLOOKUP(B1039,Orders!A:A,Orders!E:E,"")</x:f>
        <x:v>East</x:v>
      </x:c>
      <x:c r="L1039" t="n">
        <x:f>XLOOKUP(B1039,Orders!A:A,Orders!B:B,"")</x:f>
        <x:v>45786</x:v>
      </x:c>
      <x:c r="M1039" t="str">
        <x:f>XLOOKUP(C1039,Products!A:A,Products!C:C,"")</x:f>
        <x:v>Accessories</x:v>
      </x:c>
    </x:row>
    <x:row r="1040">
      <x:c r="A1040" s="15" t="str">
        <x:v>ITEM00430_3</x:v>
      </x:c>
      <x:c r="B1040" s="15" t="str">
        <x:v>ORD00430</x:v>
      </x:c>
      <x:c r="C1040" s="15" t="str">
        <x:v>PROD018</x:v>
      </x:c>
      <x:c r="D1040" s="15" t="n">
        <x:v>7</x:v>
      </x:c>
      <x:c r="E1040" s="15" t="n">
        <x:v>5637.8</x:v>
      </x:c>
      <x:c r="F1040" s="15" t="n">
        <x:v>0.15</x:v>
      </x:c>
      <x:c r="G1040" s="15" t="n">
        <x:v>39464.6</x:v>
      </x:c>
      <x:c r="H1040" s="15" t="n">
        <x:v>33544.91</x:v>
      </x:c>
      <x:c r="I1040" s="15" t="n">
        <x:v>29477</x:v>
      </x:c>
      <x:c r="J1040" s="15" t="n">
        <x:v>4067.91</x:v>
      </x:c>
      <x:c r="K1040" t="str">
        <x:f>XLOOKUP(B1040,Orders!A:A,Orders!E:E,"")</x:f>
        <x:v>East</x:v>
      </x:c>
      <x:c r="L1040" t="n">
        <x:f>XLOOKUP(B1040,Orders!A:A,Orders!B:B,"")</x:f>
        <x:v>45786</x:v>
      </x:c>
      <x:c r="M1040" t="str">
        <x:f>XLOOKUP(C1040,Products!A:A,Products!C:C,"")</x:f>
        <x:v>Electronics</x:v>
      </x:c>
    </x:row>
    <x:row r="1041">
      <x:c r="A1041" s="15" t="str">
        <x:v>ITEM00430_4</x:v>
      </x:c>
      <x:c r="B1041" s="15" t="str">
        <x:v>ORD00430</x:v>
      </x:c>
      <x:c r="C1041" s="15" t="str">
        <x:v>PROD021</x:v>
      </x:c>
      <x:c r="D1041" s="15" t="n">
        <x:v>3</x:v>
      </x:c>
      <x:c r="E1041" s="15" t="n">
        <x:v>6748.85</x:v>
      </x:c>
      <x:c r="F1041" s="15" t="n">
        <x:v>0.15</x:v>
      </x:c>
      <x:c r="G1041" s="15" t="n">
        <x:v>20246.55</x:v>
      </x:c>
      <x:c r="H1041" s="15" t="n">
        <x:v>17209.57</x:v>
      </x:c>
      <x:c r="I1041" s="15" t="n">
        <x:v>14997</x:v>
      </x:c>
      <x:c r="J1041" s="15" t="n">
        <x:v>2212.57</x:v>
      </x:c>
      <x:c r="K1041" t="str">
        <x:f>XLOOKUP(B1041,Orders!A:A,Orders!E:E,"")</x:f>
        <x:v>East</x:v>
      </x:c>
      <x:c r="L1041" t="n">
        <x:f>XLOOKUP(B1041,Orders!A:A,Orders!B:B,"")</x:f>
        <x:v>45786</x:v>
      </x:c>
      <x:c r="M1041" t="str">
        <x:f>XLOOKUP(C1041,Products!A:A,Products!C:C,"")</x:f>
        <x:v>Electronics</x:v>
      </x:c>
    </x:row>
    <x:row r="1042">
      <x:c r="A1042" s="15" t="str">
        <x:v>ITEM00431_1</x:v>
      </x:c>
      <x:c r="B1042" s="15" t="str">
        <x:v>ORD00431</x:v>
      </x:c>
      <x:c r="C1042" s="15" t="str">
        <x:v>PROD014</x:v>
      </x:c>
      <x:c r="D1042" s="15" t="n">
        <x:v>1</x:v>
      </x:c>
      <x:c r="E1042" s="15" t="n">
        <x:v>1611.65</x:v>
      </x:c>
      <x:c r="F1042" s="15" t="n">
        <x:v>0.05</x:v>
      </x:c>
      <x:c r="G1042" s="15" t="n">
        <x:v>1611.65</x:v>
      </x:c>
      <x:c r="H1042" s="15" t="n">
        <x:v>1531.07</x:v>
      </x:c>
      <x:c r="I1042" s="15" t="n">
        <x:v>1233</x:v>
      </x:c>
      <x:c r="J1042" s="15" t="n">
        <x:v>298.07</x:v>
      </x:c>
      <x:c r="K1042" t="str">
        <x:f>XLOOKUP(B1042,Orders!A:A,Orders!E:E,"")</x:f>
        <x:v>North</x:v>
      </x:c>
      <x:c r="L1042" t="n">
        <x:f>XLOOKUP(B1042,Orders!A:A,Orders!B:B,"")</x:f>
        <x:v>45790</x:v>
      </x:c>
      <x:c r="M1042" t="str">
        <x:f>XLOOKUP(C1042,Products!A:A,Products!C:C,"")</x:f>
        <x:v>Office Supplies</x:v>
      </x:c>
    </x:row>
    <x:row r="1043">
      <x:c r="A1043" s="15" t="str">
        <x:v>ITEM00431_2</x:v>
      </x:c>
      <x:c r="B1043" s="15" t="str">
        <x:v>ORD00431</x:v>
      </x:c>
      <x:c r="C1043" s="15" t="str">
        <x:v>PROD015</x:v>
      </x:c>
      <x:c r="D1043" s="15" t="n">
        <x:v>1</x:v>
      </x:c>
      <x:c r="E1043" s="15" t="n">
        <x:v>5903.1</x:v>
      </x:c>
      <x:c r="F1043" s="15" t="n">
        <x:v>0</x:v>
      </x:c>
      <x:c r="G1043" s="15" t="n">
        <x:v>5903.1</x:v>
      </x:c>
      <x:c r="H1043" s="15" t="n">
        <x:v>5903.1</x:v>
      </x:c>
      <x:c r="I1043" s="15" t="n">
        <x:v>4785</x:v>
      </x:c>
      <x:c r="J1043" s="15" t="n">
        <x:v>1118.1</x:v>
      </x:c>
      <x:c r="K1043" t="str">
        <x:f>XLOOKUP(B1043,Orders!A:A,Orders!E:E,"")</x:f>
        <x:v>North</x:v>
      </x:c>
      <x:c r="L1043" t="n">
        <x:f>XLOOKUP(B1043,Orders!A:A,Orders!B:B,"")</x:f>
        <x:v>45790</x:v>
      </x:c>
      <x:c r="M1043" t="str">
        <x:f>XLOOKUP(C1043,Products!A:A,Products!C:C,"")</x:f>
        <x:v>Electronics</x:v>
      </x:c>
    </x:row>
    <x:row r="1044">
      <x:c r="A1044" s="15" t="str">
        <x:v>ITEM00431_3</x:v>
      </x:c>
      <x:c r="B1044" s="15" t="str">
        <x:v>ORD00431</x:v>
      </x:c>
      <x:c r="C1044" s="15" t="str">
        <x:v>PROD018</x:v>
      </x:c>
      <x:c r="D1044" s="15" t="n">
        <x:v>5</x:v>
      </x:c>
      <x:c r="E1044" s="15" t="n">
        <x:v>5637.8</x:v>
      </x:c>
      <x:c r="F1044" s="15" t="n">
        <x:v>0.1</x:v>
      </x:c>
      <x:c r="G1044" s="15" t="n">
        <x:v>28189</x:v>
      </x:c>
      <x:c r="H1044" s="15" t="n">
        <x:v>25370.1</x:v>
      </x:c>
      <x:c r="I1044" s="15" t="n">
        <x:v>21055</x:v>
      </x:c>
      <x:c r="J1044" s="15" t="n">
        <x:v>4315.1</x:v>
      </x:c>
      <x:c r="K1044" t="str">
        <x:f>XLOOKUP(B1044,Orders!A:A,Orders!E:E,"")</x:f>
        <x:v>North</x:v>
      </x:c>
      <x:c r="L1044" t="n">
        <x:f>XLOOKUP(B1044,Orders!A:A,Orders!B:B,"")</x:f>
        <x:v>45790</x:v>
      </x:c>
      <x:c r="M1044" t="str">
        <x:f>XLOOKUP(C1044,Products!A:A,Products!C:C,"")</x:f>
        <x:v>Electronics</x:v>
      </x:c>
    </x:row>
    <x:row r="1045">
      <x:c r="A1045" s="15" t="str">
        <x:v>ITEM00432_1</x:v>
      </x:c>
      <x:c r="B1045" s="15" t="str">
        <x:v>ORD00432</x:v>
      </x:c>
      <x:c r="C1045" s="15" t="str">
        <x:v>PROD036</x:v>
      </x:c>
      <x:c r="D1045" s="15" t="n">
        <x:v>6</x:v>
      </x:c>
      <x:c r="E1045" s="15" t="n">
        <x:v>7158.64</x:v>
      </x:c>
      <x:c r="F1045" s="15" t="n">
        <x:v>0</x:v>
      </x:c>
      <x:c r="G1045" s="15" t="n">
        <x:v>42951.84</x:v>
      </x:c>
      <x:c r="H1045" s="15" t="n">
        <x:v>42951.84</x:v>
      </x:c>
      <x:c r="I1045" s="15" t="n">
        <x:v>31026</x:v>
      </x:c>
      <x:c r="J1045" s="15" t="n">
        <x:v>11925.84</x:v>
      </x:c>
      <x:c r="K1045" t="str">
        <x:f>XLOOKUP(B1045,Orders!A:A,Orders!E:E,"")</x:f>
        <x:v>South</x:v>
      </x:c>
      <x:c r="L1045" t="n">
        <x:f>XLOOKUP(B1045,Orders!A:A,Orders!B:B,"")</x:f>
        <x:v>45855</x:v>
      </x:c>
      <x:c r="M1045" t="str">
        <x:f>XLOOKUP(C1045,Products!A:A,Products!C:C,"")</x:f>
        <x:v>Accessories</x:v>
      </x:c>
    </x:row>
    <x:row r="1046">
      <x:c r="A1046" s="15" t="str">
        <x:v>ITEM00432_2</x:v>
      </x:c>
      <x:c r="B1046" s="15" t="str">
        <x:v>ORD00432</x:v>
      </x:c>
      <x:c r="C1046" s="15" t="str">
        <x:v>PROD029</x:v>
      </x:c>
      <x:c r="D1046" s="15" t="n">
        <x:v>1</x:v>
      </x:c>
      <x:c r="E1046" s="15" t="n">
        <x:v>8430.77</x:v>
      </x:c>
      <x:c r="F1046" s="15" t="n">
        <x:v>0.15</x:v>
      </x:c>
      <x:c r="G1046" s="15" t="n">
        <x:v>8430.77</x:v>
      </x:c>
      <x:c r="H1046" s="15" t="n">
        <x:v>7166.15</x:v>
      </x:c>
      <x:c r="I1046" s="15" t="n">
        <x:v>6185</x:v>
      </x:c>
      <x:c r="J1046" s="15" t="n">
        <x:v>981.15</x:v>
      </x:c>
      <x:c r="K1046" t="str">
        <x:f>XLOOKUP(B1046,Orders!A:A,Orders!E:E,"")</x:f>
        <x:v>South</x:v>
      </x:c>
      <x:c r="L1046" t="n">
        <x:f>XLOOKUP(B1046,Orders!A:A,Orders!B:B,"")</x:f>
        <x:v>45855</x:v>
      </x:c>
      <x:c r="M1046" t="str">
        <x:f>XLOOKUP(C1046,Products!A:A,Products!C:C,"")</x:f>
        <x:v>Office Supplies</x:v>
      </x:c>
    </x:row>
    <x:row r="1047">
      <x:c r="A1047" s="15" t="str">
        <x:v>ITEM00433_1</x:v>
      </x:c>
      <x:c r="B1047" s="15" t="str">
        <x:v>ORD00433</x:v>
      </x:c>
      <x:c r="C1047" s="15" t="str">
        <x:v>PROD035</x:v>
      </x:c>
      <x:c r="D1047" s="15" t="n">
        <x:v>2</x:v>
      </x:c>
      <x:c r="E1047" s="15" t="n">
        <x:v>3972.26</x:v>
      </x:c>
      <x:c r="F1047" s="15" t="n">
        <x:v>0.15</x:v>
      </x:c>
      <x:c r="G1047" s="15" t="n">
        <x:v>7944.52</x:v>
      </x:c>
      <x:c r="H1047" s="15" t="n">
        <x:v>6752.84</x:v>
      </x:c>
      <x:c r="I1047" s="15" t="n">
        <x:v>6374</x:v>
      </x:c>
      <x:c r="J1047" s="15" t="n">
        <x:v>378.84</x:v>
      </x:c>
      <x:c r="K1047" t="str">
        <x:f>XLOOKUP(B1047,Orders!A:A,Orders!E:E,"")</x:f>
        <x:v>South</x:v>
      </x:c>
      <x:c r="L1047" t="n">
        <x:f>XLOOKUP(B1047,Orders!A:A,Orders!B:B,"")</x:f>
        <x:v>45690</x:v>
      </x:c>
      <x:c r="M1047" t="str">
        <x:f>XLOOKUP(C1047,Products!A:A,Products!C:C,"")</x:f>
        <x:v>Electronics</x:v>
      </x:c>
    </x:row>
    <x:row r="1048">
      <x:c r="A1048" s="15" t="str">
        <x:v>ITEM00433_2</x:v>
      </x:c>
      <x:c r="B1048" s="15" t="str">
        <x:v>ORD00433</x:v>
      </x:c>
      <x:c r="C1048" s="15" t="str">
        <x:v>PROD039</x:v>
      </x:c>
      <x:c r="D1048" s="15" t="n">
        <x:v>3</x:v>
      </x:c>
      <x:c r="E1048" s="15" t="n">
        <x:v>5945.62</x:v>
      </x:c>
      <x:c r="F1048" s="15" t="n">
        <x:v>0.15</x:v>
      </x:c>
      <x:c r="G1048" s="15" t="n">
        <x:v>17836.86</x:v>
      </x:c>
      <x:c r="H1048" s="15" t="n">
        <x:v>15161.33</x:v>
      </x:c>
      <x:c r="I1048" s="15" t="n">
        <x:v>13719</x:v>
      </x:c>
      <x:c r="J1048" s="15" t="n">
        <x:v>1442.33</x:v>
      </x:c>
      <x:c r="K1048" t="str">
        <x:f>XLOOKUP(B1048,Orders!A:A,Orders!E:E,"")</x:f>
        <x:v>South</x:v>
      </x:c>
      <x:c r="L1048" t="n">
        <x:f>XLOOKUP(B1048,Orders!A:A,Orders!B:B,"")</x:f>
        <x:v>45690</x:v>
      </x:c>
      <x:c r="M1048" t="str">
        <x:f>XLOOKUP(C1048,Products!A:A,Products!C:C,"")</x:f>
        <x:v>Office Supplies</x:v>
      </x:c>
    </x:row>
    <x:row r="1049">
      <x:c r="A1049" s="15" t="str">
        <x:v>ITEM00434_1</x:v>
      </x:c>
      <x:c r="B1049" s="15" t="str">
        <x:v>ORD00434</x:v>
      </x:c>
      <x:c r="C1049" s="15" t="str">
        <x:v>PROD015</x:v>
      </x:c>
      <x:c r="D1049" s="15" t="n">
        <x:v>8</x:v>
      </x:c>
      <x:c r="E1049" s="15" t="n">
        <x:v>5903.1</x:v>
      </x:c>
      <x:c r="F1049" s="15" t="n">
        <x:v>0.05</x:v>
      </x:c>
      <x:c r="G1049" s="15" t="n">
        <x:v>47224.8</x:v>
      </x:c>
      <x:c r="H1049" s="15" t="n">
        <x:v>44863.56</x:v>
      </x:c>
      <x:c r="I1049" s="15" t="n">
        <x:v>38280</x:v>
      </x:c>
      <x:c r="J1049" s="15" t="n">
        <x:v>6583.56</x:v>
      </x:c>
      <x:c r="K1049" t="str">
        <x:f>XLOOKUP(B1049,Orders!A:A,Orders!E:E,"")</x:f>
        <x:v>West</x:v>
      </x:c>
      <x:c r="L1049" t="n">
        <x:f>XLOOKUP(B1049,Orders!A:A,Orders!B:B,"")</x:f>
        <x:v>45869</x:v>
      </x:c>
      <x:c r="M1049" t="str">
        <x:f>XLOOKUP(C1049,Products!A:A,Products!C:C,"")</x:f>
        <x:v>Electronics</x:v>
      </x:c>
    </x:row>
    <x:row r="1050">
      <x:c r="A1050" s="15" t="str">
        <x:v>ITEM00434_2</x:v>
      </x:c>
      <x:c r="B1050" s="15" t="str">
        <x:v>ORD00434</x:v>
      </x:c>
      <x:c r="C1050" s="15" t="str">
        <x:v>PROD015</x:v>
      </x:c>
      <x:c r="D1050" s="15" t="n">
        <x:v>4</x:v>
      </x:c>
      <x:c r="E1050" s="15" t="n">
        <x:v>5903.1</x:v>
      </x:c>
      <x:c r="F1050" s="15" t="n">
        <x:v>0.05</x:v>
      </x:c>
      <x:c r="G1050" s="15" t="n">
        <x:v>23612.4</x:v>
      </x:c>
      <x:c r="H1050" s="15" t="n">
        <x:v>22431.78</x:v>
      </x:c>
      <x:c r="I1050" s="15" t="n">
        <x:v>19140</x:v>
      </x:c>
      <x:c r="J1050" s="15" t="n">
        <x:v>3291.78</x:v>
      </x:c>
      <x:c r="K1050" t="str">
        <x:f>XLOOKUP(B1050,Orders!A:A,Orders!E:E,"")</x:f>
        <x:v>West</x:v>
      </x:c>
      <x:c r="L1050" t="n">
        <x:f>XLOOKUP(B1050,Orders!A:A,Orders!B:B,"")</x:f>
        <x:v>45869</x:v>
      </x:c>
      <x:c r="M1050" t="str">
        <x:f>XLOOKUP(C1050,Products!A:A,Products!C:C,"")</x:f>
        <x:v>Electronics</x:v>
      </x:c>
    </x:row>
    <x:row r="1051">
      <x:c r="A1051" s="15" t="str">
        <x:v>ITEM00434_3</x:v>
      </x:c>
      <x:c r="B1051" s="15" t="str">
        <x:v>ORD00434</x:v>
      </x:c>
      <x:c r="C1051" s="15" t="str">
        <x:v>PROD013</x:v>
      </x:c>
      <x:c r="D1051" s="15" t="n">
        <x:v>6</x:v>
      </x:c>
      <x:c r="E1051" s="15" t="n">
        <x:v>7614.02</x:v>
      </x:c>
      <x:c r="F1051" s="15" t="n">
        <x:v>0.15</x:v>
      </x:c>
      <x:c r="G1051" s="15" t="n">
        <x:v>45684.12</x:v>
      </x:c>
      <x:c r="H1051" s="15" t="n">
        <x:v>38831.5</x:v>
      </x:c>
      <x:c r="I1051" s="15" t="n">
        <x:v>36462</x:v>
      </x:c>
      <x:c r="J1051" s="15" t="n">
        <x:v>2369.5</x:v>
      </x:c>
      <x:c r="K1051" t="str">
        <x:f>XLOOKUP(B1051,Orders!A:A,Orders!E:E,"")</x:f>
        <x:v>West</x:v>
      </x:c>
      <x:c r="L1051" t="n">
        <x:f>XLOOKUP(B1051,Orders!A:A,Orders!B:B,"")</x:f>
        <x:v>45869</x:v>
      </x:c>
      <x:c r="M1051" t="str">
        <x:f>XLOOKUP(C1051,Products!A:A,Products!C:C,"")</x:f>
        <x:v>Furniture</x:v>
      </x:c>
    </x:row>
    <x:row r="1052">
      <x:c r="A1052" s="15" t="str">
        <x:v>ITEM00434_4</x:v>
      </x:c>
      <x:c r="B1052" s="15" t="str">
        <x:v>ORD00434</x:v>
      </x:c>
      <x:c r="C1052" s="15" t="str">
        <x:v>PROD031</x:v>
      </x:c>
      <x:c r="D1052" s="15" t="n">
        <x:v>5</x:v>
      </x:c>
      <x:c r="E1052" s="15" t="n">
        <x:v>3371.81</x:v>
      </x:c>
      <x:c r="F1052" s="15" t="n">
        <x:v>0.05</x:v>
      </x:c>
      <x:c r="G1052" s="15" t="n">
        <x:v>16859.05</x:v>
      </x:c>
      <x:c r="H1052" s="15" t="n">
        <x:v>16016.1</x:v>
      </x:c>
      <x:c r="I1052" s="15" t="n">
        <x:v>13985</x:v>
      </x:c>
      <x:c r="J1052" s="15" t="n">
        <x:v>2031.1</x:v>
      </x:c>
      <x:c r="K1052" t="str">
        <x:f>XLOOKUP(B1052,Orders!A:A,Orders!E:E,"")</x:f>
        <x:v>West</x:v>
      </x:c>
      <x:c r="L1052" t="n">
        <x:f>XLOOKUP(B1052,Orders!A:A,Orders!B:B,"")</x:f>
        <x:v>45869</x:v>
      </x:c>
      <x:c r="M1052" t="str">
        <x:f>XLOOKUP(C1052,Products!A:A,Products!C:C,"")</x:f>
        <x:v>Furniture</x:v>
      </x:c>
    </x:row>
    <x:row r="1053">
      <x:c r="A1053" s="15" t="str">
        <x:v>ITEM00435_1</x:v>
      </x:c>
      <x:c r="B1053" s="15" t="str">
        <x:v>ORD00435</x:v>
      </x:c>
      <x:c r="C1053" s="15" t="str">
        <x:v>PROD028</x:v>
      </x:c>
      <x:c r="D1053" s="15" t="n">
        <x:v>5</x:v>
      </x:c>
      <x:c r="E1053" s="15" t="n">
        <x:v>4640.74</x:v>
      </x:c>
      <x:c r="F1053" s="15" t="n">
        <x:v>0</x:v>
      </x:c>
      <x:c r="G1053" s="15" t="n">
        <x:v>23203.7</x:v>
      </x:c>
      <x:c r="H1053" s="15" t="n">
        <x:v>23203.7</x:v>
      </x:c>
      <x:c r="I1053" s="15" t="n">
        <x:v>17670</x:v>
      </x:c>
      <x:c r="J1053" s="15" t="n">
        <x:v>5533.7</x:v>
      </x:c>
      <x:c r="K1053" t="str">
        <x:f>XLOOKUP(B1053,Orders!A:A,Orders!E:E,"")</x:f>
        <x:v>East</x:v>
      </x:c>
      <x:c r="L1053" t="n">
        <x:f>XLOOKUP(B1053,Orders!A:A,Orders!B:B,"")</x:f>
        <x:v>46035</x:v>
      </x:c>
      <x:c r="M1053" t="str">
        <x:f>XLOOKUP(C1053,Products!A:A,Products!C:C,"")</x:f>
        <x:v>Office Supplies</x:v>
      </x:c>
    </x:row>
    <x:row r="1054">
      <x:c r="A1054" s="15" t="str">
        <x:v>ITEM00435_2</x:v>
      </x:c>
      <x:c r="B1054" s="15" t="str">
        <x:v>ORD00435</x:v>
      </x:c>
      <x:c r="C1054" s="15" t="str">
        <x:v>PROD028</x:v>
      </x:c>
      <x:c r="D1054" s="15" t="n">
        <x:v>5</x:v>
      </x:c>
      <x:c r="E1054" s="15" t="n">
        <x:v>4640.74</x:v>
      </x:c>
      <x:c r="F1054" s="15" t="n">
        <x:v>0.1</x:v>
      </x:c>
      <x:c r="G1054" s="15" t="n">
        <x:v>23203.7</x:v>
      </x:c>
      <x:c r="H1054" s="15" t="n">
        <x:v>20883.33</x:v>
      </x:c>
      <x:c r="I1054" s="15" t="n">
        <x:v>17670</x:v>
      </x:c>
      <x:c r="J1054" s="15" t="n">
        <x:v>3213.33</x:v>
      </x:c>
      <x:c r="K1054" t="str">
        <x:f>XLOOKUP(B1054,Orders!A:A,Orders!E:E,"")</x:f>
        <x:v>East</x:v>
      </x:c>
      <x:c r="L1054" t="n">
        <x:f>XLOOKUP(B1054,Orders!A:A,Orders!B:B,"")</x:f>
        <x:v>46035</x:v>
      </x:c>
      <x:c r="M1054" t="str">
        <x:f>XLOOKUP(C1054,Products!A:A,Products!C:C,"")</x:f>
        <x:v>Office Supplies</x:v>
      </x:c>
    </x:row>
    <x:row r="1055">
      <x:c r="A1055" s="15" t="str">
        <x:v>ITEM00435_3</x:v>
      </x:c>
      <x:c r="B1055" s="15" t="str">
        <x:v>ORD00435</x:v>
      </x:c>
      <x:c r="C1055" s="15" t="str">
        <x:v>PROD032</x:v>
      </x:c>
      <x:c r="D1055" s="15" t="n">
        <x:v>1</x:v>
      </x:c>
      <x:c r="E1055" s="15" t="n">
        <x:v>6307.06</x:v>
      </x:c>
      <x:c r="F1055" s="15" t="n">
        <x:v>0.1</x:v>
      </x:c>
      <x:c r="G1055" s="15" t="n">
        <x:v>6307.06</x:v>
      </x:c>
      <x:c r="H1055" s="15" t="n">
        <x:v>5676.35</x:v>
      </x:c>
      <x:c r="I1055" s="15" t="n">
        <x:v>5077</x:v>
      </x:c>
      <x:c r="J1055" s="15" t="n">
        <x:v>599.35</x:v>
      </x:c>
      <x:c r="K1055" t="str">
        <x:f>XLOOKUP(B1055,Orders!A:A,Orders!E:E,"")</x:f>
        <x:v>East</x:v>
      </x:c>
      <x:c r="L1055" t="n">
        <x:f>XLOOKUP(B1055,Orders!A:A,Orders!B:B,"")</x:f>
        <x:v>46035</x:v>
      </x:c>
      <x:c r="M1055" t="str">
        <x:f>XLOOKUP(C1055,Products!A:A,Products!C:C,"")</x:f>
        <x:v>Electronics</x:v>
      </x:c>
    </x:row>
    <x:row r="1056">
      <x:c r="A1056" s="15" t="str">
        <x:v>ITEM00435_4</x:v>
      </x:c>
      <x:c r="B1056" s="15" t="str">
        <x:v>ORD00435</x:v>
      </x:c>
      <x:c r="C1056" s="15" t="str">
        <x:v>PROD026</x:v>
      </x:c>
      <x:c r="D1056" s="15" t="n">
        <x:v>7</x:v>
      </x:c>
      <x:c r="E1056" s="15" t="n">
        <x:v>3848.69</x:v>
      </x:c>
      <x:c r="F1056" s="15" t="n">
        <x:v>0</x:v>
      </x:c>
      <x:c r="G1056" s="15" t="n">
        <x:v>26940.83</x:v>
      </x:c>
      <x:c r="H1056" s="15" t="n">
        <x:v>26940.83</x:v>
      </x:c>
      <x:c r="I1056" s="15" t="n">
        <x:v>18438</x:v>
      </x:c>
      <x:c r="J1056" s="15" t="n">
        <x:v>8502.83</x:v>
      </x:c>
      <x:c r="K1056" t="str">
        <x:f>XLOOKUP(B1056,Orders!A:A,Orders!E:E,"")</x:f>
        <x:v>East</x:v>
      </x:c>
      <x:c r="L1056" t="n">
        <x:f>XLOOKUP(B1056,Orders!A:A,Orders!B:B,"")</x:f>
        <x:v>46035</x:v>
      </x:c>
      <x:c r="M1056" t="str">
        <x:f>XLOOKUP(C1056,Products!A:A,Products!C:C,"")</x:f>
        <x:v>Accessories</x:v>
      </x:c>
    </x:row>
    <x:row r="1057">
      <x:c r="A1057" s="15" t="str">
        <x:v>ITEM00436_1</x:v>
      </x:c>
      <x:c r="B1057" s="15" t="str">
        <x:v>ORD00436</x:v>
      </x:c>
      <x:c r="C1057" s="15" t="str">
        <x:v>PROD005</x:v>
      </x:c>
      <x:c r="D1057" s="15" t="n">
        <x:v>5</x:v>
      </x:c>
      <x:c r="E1057" s="15" t="n">
        <x:v>6453.62</x:v>
      </x:c>
      <x:c r="F1057" s="15" t="n">
        <x:v>0</x:v>
      </x:c>
      <x:c r="G1057" s="15" t="n">
        <x:v>32268.1</x:v>
      </x:c>
      <x:c r="H1057" s="15" t="n">
        <x:v>32268.1</x:v>
      </x:c>
      <x:c r="I1057" s="15" t="n">
        <x:v>24240</x:v>
      </x:c>
      <x:c r="J1057" s="15" t="n">
        <x:v>8028.1</x:v>
      </x:c>
      <x:c r="K1057" t="str">
        <x:f>XLOOKUP(B1057,Orders!A:A,Orders!E:E,"")</x:f>
        <x:v>North</x:v>
      </x:c>
      <x:c r="L1057" t="n">
        <x:f>XLOOKUP(B1057,Orders!A:A,Orders!B:B,"")</x:f>
        <x:v>46129</x:v>
      </x:c>
      <x:c r="M1057" t="str">
        <x:f>XLOOKUP(C1057,Products!A:A,Products!C:C,"")</x:f>
        <x:v>Office Supplies</x:v>
      </x:c>
    </x:row>
    <x:row r="1058">
      <x:c r="A1058" s="15" t="str">
        <x:v>ITEM00436_2</x:v>
      </x:c>
      <x:c r="B1058" s="15" t="str">
        <x:v>ORD00436</x:v>
      </x:c>
      <x:c r="C1058" s="15" t="str">
        <x:v>PROD025</x:v>
      </x:c>
      <x:c r="D1058" s="15" t="n">
        <x:v>8</x:v>
      </x:c>
      <x:c r="E1058" s="15" t="n">
        <x:v>1148.84</x:v>
      </x:c>
      <x:c r="F1058" s="15" t="n">
        <x:v>0.1</x:v>
      </x:c>
      <x:c r="G1058" s="15" t="n">
        <x:v>9190.72</x:v>
      </x:c>
      <x:c r="H1058" s="15" t="n">
        <x:v>8271.65</x:v>
      </x:c>
      <x:c r="I1058" s="15" t="n">
        <x:v>7024</x:v>
      </x:c>
      <x:c r="J1058" s="15" t="n">
        <x:v>1247.65</x:v>
      </x:c>
      <x:c r="K1058" t="str">
        <x:f>XLOOKUP(B1058,Orders!A:A,Orders!E:E,"")</x:f>
        <x:v>North</x:v>
      </x:c>
      <x:c r="L1058" t="n">
        <x:f>XLOOKUP(B1058,Orders!A:A,Orders!B:B,"")</x:f>
        <x:v>46129</x:v>
      </x:c>
      <x:c r="M1058" t="str">
        <x:f>XLOOKUP(C1058,Products!A:A,Products!C:C,"")</x:f>
        <x:v>Furniture</x:v>
      </x:c>
    </x:row>
    <x:row r="1059">
      <x:c r="A1059" s="15" t="str">
        <x:v>ITEM00436_3</x:v>
      </x:c>
      <x:c r="B1059" s="15" t="str">
        <x:v>ORD00436</x:v>
      </x:c>
      <x:c r="C1059" s="15" t="str">
        <x:v>PROD038</x:v>
      </x:c>
      <x:c r="D1059" s="15" t="n">
        <x:v>5</x:v>
      </x:c>
      <x:c r="E1059" s="15" t="n">
        <x:v>5219.7</x:v>
      </x:c>
      <x:c r="F1059" s="15" t="n">
        <x:v>0</x:v>
      </x:c>
      <x:c r="G1059" s="15" t="n">
        <x:v>26098.5</x:v>
      </x:c>
      <x:c r="H1059" s="15" t="n">
        <x:v>26098.5</x:v>
      </x:c>
      <x:c r="I1059" s="15" t="n">
        <x:v>19680</x:v>
      </x:c>
      <x:c r="J1059" s="15" t="n">
        <x:v>6418.5</x:v>
      </x:c>
      <x:c r="K1059" t="str">
        <x:f>XLOOKUP(B1059,Orders!A:A,Orders!E:E,"")</x:f>
        <x:v>North</x:v>
      </x:c>
      <x:c r="L1059" t="n">
        <x:f>XLOOKUP(B1059,Orders!A:A,Orders!B:B,"")</x:f>
        <x:v>46129</x:v>
      </x:c>
      <x:c r="M1059" t="str">
        <x:f>XLOOKUP(C1059,Products!A:A,Products!C:C,"")</x:f>
        <x:v>Office Supplies</x:v>
      </x:c>
    </x:row>
    <x:row r="1060">
      <x:c r="A1060" s="15" t="str">
        <x:v>ITEM00437_1</x:v>
      </x:c>
      <x:c r="B1060" s="15" t="str">
        <x:v>ORD00437</x:v>
      </x:c>
      <x:c r="C1060" s="15" t="str">
        <x:v>PROD032</x:v>
      </x:c>
      <x:c r="D1060" s="15" t="n">
        <x:v>8</x:v>
      </x:c>
      <x:c r="E1060" s="15" t="n">
        <x:v>6307.06</x:v>
      </x:c>
      <x:c r="F1060" s="15" t="n">
        <x:v>0.1</x:v>
      </x:c>
      <x:c r="G1060" s="15" t="n">
        <x:v>50456.48</x:v>
      </x:c>
      <x:c r="H1060" s="15" t="n">
        <x:v>45410.83</x:v>
      </x:c>
      <x:c r="I1060" s="15" t="n">
        <x:v>40616</x:v>
      </x:c>
      <x:c r="J1060" s="15" t="n">
        <x:v>4794.83</x:v>
      </x:c>
      <x:c r="K1060" t="str">
        <x:f>XLOOKUP(B1060,Orders!A:A,Orders!E:E,"")</x:f>
        <x:v>North</x:v>
      </x:c>
      <x:c r="L1060" t="n">
        <x:f>XLOOKUP(B1060,Orders!A:A,Orders!B:B,"")</x:f>
        <x:v>45995</x:v>
      </x:c>
      <x:c r="M1060" t="str">
        <x:f>XLOOKUP(C1060,Products!A:A,Products!C:C,"")</x:f>
        <x:v>Electronics</x:v>
      </x:c>
    </x:row>
    <x:row r="1061">
      <x:c r="A1061" s="15" t="str">
        <x:v>ITEM00437_2</x:v>
      </x:c>
      <x:c r="B1061" s="15" t="str">
        <x:v>ORD00437</x:v>
      </x:c>
      <x:c r="C1061" s="15" t="str">
        <x:v>PROD002</x:v>
      </x:c>
      <x:c r="D1061" s="15" t="n">
        <x:v>7</x:v>
      </x:c>
      <x:c r="E1061" s="15" t="n">
        <x:v>4655.92</x:v>
      </x:c>
      <x:c r="F1061" s="15" t="n">
        <x:v>0.05</x:v>
      </x:c>
      <x:c r="G1061" s="15" t="n">
        <x:v>32591.44</x:v>
      </x:c>
      <x:c r="H1061" s="15" t="n">
        <x:v>30961.87</x:v>
      </x:c>
      <x:c r="I1061" s="15" t="n">
        <x:v>21931</x:v>
      </x:c>
      <x:c r="J1061" s="15" t="n">
        <x:v>9030.87</x:v>
      </x:c>
      <x:c r="K1061" t="str">
        <x:f>XLOOKUP(B1061,Orders!A:A,Orders!E:E,"")</x:f>
        <x:v>North</x:v>
      </x:c>
      <x:c r="L1061" t="n">
        <x:f>XLOOKUP(B1061,Orders!A:A,Orders!B:B,"")</x:f>
        <x:v>45995</x:v>
      </x:c>
      <x:c r="M1061" t="str">
        <x:f>XLOOKUP(C1061,Products!A:A,Products!C:C,"")</x:f>
        <x:v>Accessories</x:v>
      </x:c>
    </x:row>
    <x:row r="1062">
      <x:c r="A1062" s="15" t="str">
        <x:v>ITEM00437_3</x:v>
      </x:c>
      <x:c r="B1062" s="15" t="str">
        <x:v>ORD00437</x:v>
      </x:c>
      <x:c r="C1062" s="15" t="str">
        <x:v>PROD016</x:v>
      </x:c>
      <x:c r="D1062" s="15" t="n">
        <x:v>7</x:v>
      </x:c>
      <x:c r="E1062" s="15" t="n">
        <x:v>3884.33</x:v>
      </x:c>
      <x:c r="F1062" s="15" t="n">
        <x:v>0</x:v>
      </x:c>
      <x:c r="G1062" s="15" t="n">
        <x:v>27190.31</x:v>
      </x:c>
      <x:c r="H1062" s="15" t="n">
        <x:v>27190.31</x:v>
      </x:c>
      <x:c r="I1062" s="15" t="n">
        <x:v>21329</x:v>
      </x:c>
      <x:c r="J1062" s="15" t="n">
        <x:v>5861.31</x:v>
      </x:c>
      <x:c r="K1062" t="str">
        <x:f>XLOOKUP(B1062,Orders!A:A,Orders!E:E,"")</x:f>
        <x:v>North</x:v>
      </x:c>
      <x:c r="L1062" t="n">
        <x:f>XLOOKUP(B1062,Orders!A:A,Orders!B:B,"")</x:f>
        <x:v>45995</x:v>
      </x:c>
      <x:c r="M1062" t="str">
        <x:f>XLOOKUP(C1062,Products!A:A,Products!C:C,"")</x:f>
        <x:v>Electronics</x:v>
      </x:c>
    </x:row>
    <x:row r="1063">
      <x:c r="A1063" s="15" t="str">
        <x:v>ITEM00437_4</x:v>
      </x:c>
      <x:c r="B1063" s="15" t="str">
        <x:v>ORD00437</x:v>
      </x:c>
      <x:c r="C1063" s="15" t="str">
        <x:v>PROD037</x:v>
      </x:c>
      <x:c r="D1063" s="15" t="n">
        <x:v>4</x:v>
      </x:c>
      <x:c r="E1063" s="15" t="n">
        <x:v>9876.8</x:v>
      </x:c>
      <x:c r="F1063" s="15" t="n">
        <x:v>0.1</x:v>
      </x:c>
      <x:c r="G1063" s="15" t="n">
        <x:v>39507.2</x:v>
      </x:c>
      <x:c r="H1063" s="15" t="n">
        <x:v>35556.48</x:v>
      </x:c>
      <x:c r="I1063" s="15" t="n">
        <x:v>28496</x:v>
      </x:c>
      <x:c r="J1063" s="15" t="n">
        <x:v>7060.48</x:v>
      </x:c>
      <x:c r="K1063" t="str">
        <x:f>XLOOKUP(B1063,Orders!A:A,Orders!E:E,"")</x:f>
        <x:v>North</x:v>
      </x:c>
      <x:c r="L1063" t="n">
        <x:f>XLOOKUP(B1063,Orders!A:A,Orders!B:B,"")</x:f>
        <x:v>45995</x:v>
      </x:c>
      <x:c r="M1063" t="str">
        <x:f>XLOOKUP(C1063,Products!A:A,Products!C:C,"")</x:f>
        <x:v>Accessories</x:v>
      </x:c>
    </x:row>
    <x:row r="1064">
      <x:c r="A1064" s="15" t="str">
        <x:v>ITEM00438_1</x:v>
      </x:c>
      <x:c r="B1064" s="15" t="str">
        <x:v>ORD00438</x:v>
      </x:c>
      <x:c r="C1064" s="15" t="str">
        <x:v>PROD039</x:v>
      </x:c>
      <x:c r="D1064" s="15" t="n">
        <x:v>2</x:v>
      </x:c>
      <x:c r="E1064" s="15" t="n">
        <x:v>5945.62</x:v>
      </x:c>
      <x:c r="F1064" s="15" t="n">
        <x:v>0.05</x:v>
      </x:c>
      <x:c r="G1064" s="15" t="n">
        <x:v>11891.24</x:v>
      </x:c>
      <x:c r="H1064" s="15" t="n">
        <x:v>11296.68</x:v>
      </x:c>
      <x:c r="I1064" s="15" t="n">
        <x:v>9146</x:v>
      </x:c>
      <x:c r="J1064" s="15" t="n">
        <x:v>2150.68</x:v>
      </x:c>
      <x:c r="K1064" t="str">
        <x:f>XLOOKUP(B1064,Orders!A:A,Orders!E:E,"")</x:f>
        <x:v>North</x:v>
      </x:c>
      <x:c r="L1064" t="n">
        <x:f>XLOOKUP(B1064,Orders!A:A,Orders!B:B,"")</x:f>
        <x:v>46080</x:v>
      </x:c>
      <x:c r="M1064" t="str">
        <x:f>XLOOKUP(C1064,Products!A:A,Products!C:C,"")</x:f>
        <x:v>Office Supplies</x:v>
      </x:c>
    </x:row>
    <x:row r="1065">
      <x:c r="A1065" s="15" t="str">
        <x:v>ITEM00438_2</x:v>
      </x:c>
      <x:c r="B1065" s="15" t="str">
        <x:v>ORD00438</x:v>
      </x:c>
      <x:c r="C1065" s="15" t="str">
        <x:v>PROD036</x:v>
      </x:c>
      <x:c r="D1065" s="15" t="n">
        <x:v>7</x:v>
      </x:c>
      <x:c r="E1065" s="15" t="n">
        <x:v>7158.64</x:v>
      </x:c>
      <x:c r="F1065" s="15" t="n">
        <x:v>0</x:v>
      </x:c>
      <x:c r="G1065" s="15" t="n">
        <x:v>50110.48</x:v>
      </x:c>
      <x:c r="H1065" s="15" t="n">
        <x:v>50110.48</x:v>
      </x:c>
      <x:c r="I1065" s="15" t="n">
        <x:v>36197</x:v>
      </x:c>
      <x:c r="J1065" s="15" t="n">
        <x:v>13913.48</x:v>
      </x:c>
      <x:c r="K1065" t="str">
        <x:f>XLOOKUP(B1065,Orders!A:A,Orders!E:E,"")</x:f>
        <x:v>North</x:v>
      </x:c>
      <x:c r="L1065" t="n">
        <x:f>XLOOKUP(B1065,Orders!A:A,Orders!B:B,"")</x:f>
        <x:v>46080</x:v>
      </x:c>
      <x:c r="M1065" t="str">
        <x:f>XLOOKUP(C1065,Products!A:A,Products!C:C,"")</x:f>
        <x:v>Accessories</x:v>
      </x:c>
    </x:row>
    <x:row r="1066">
      <x:c r="A1066" s="15" t="str">
        <x:v>ITEM00439_1</x:v>
      </x:c>
      <x:c r="B1066" s="15" t="str">
        <x:v>ORD00439</x:v>
      </x:c>
      <x:c r="C1066" s="15" t="str">
        <x:v>PROD018</x:v>
      </x:c>
      <x:c r="D1066" s="15" t="n">
        <x:v>8</x:v>
      </x:c>
      <x:c r="E1066" s="15" t="n">
        <x:v>5637.8</x:v>
      </x:c>
      <x:c r="F1066" s="15" t="n">
        <x:v>0</x:v>
      </x:c>
      <x:c r="G1066" s="15" t="n">
        <x:v>45102.4</x:v>
      </x:c>
      <x:c r="H1066" s="15" t="n">
        <x:v>45102.4</x:v>
      </x:c>
      <x:c r="I1066" s="15" t="n">
        <x:v>33688</x:v>
      </x:c>
      <x:c r="J1066" s="15" t="n">
        <x:v>11414.4</x:v>
      </x:c>
      <x:c r="K1066" t="str">
        <x:f>XLOOKUP(B1066,Orders!A:A,Orders!E:E,"")</x:f>
        <x:v>West</x:v>
      </x:c>
      <x:c r="L1066" t="n">
        <x:f>XLOOKUP(B1066,Orders!A:A,Orders!B:B,"")</x:f>
        <x:v>45801</x:v>
      </x:c>
      <x:c r="M1066" t="str">
        <x:f>XLOOKUP(C1066,Products!A:A,Products!C:C,"")</x:f>
        <x:v>Electronics</x:v>
      </x:c>
    </x:row>
    <x:row r="1067">
      <x:c r="A1067" s="15" t="str">
        <x:v>ITEM00439_2</x:v>
      </x:c>
      <x:c r="B1067" s="15" t="str">
        <x:v>ORD00439</x:v>
      </x:c>
      <x:c r="C1067" s="15" t="str">
        <x:v>PROD033</x:v>
      </x:c>
      <x:c r="D1067" s="15" t="n">
        <x:v>2</x:v>
      </x:c>
      <x:c r="E1067" s="15" t="n">
        <x:v>3912.41</x:v>
      </x:c>
      <x:c r="F1067" s="15" t="n">
        <x:v>0.1</x:v>
      </x:c>
      <x:c r="G1067" s="15" t="n">
        <x:v>7824.82</x:v>
      </x:c>
      <x:c r="H1067" s="15" t="n">
        <x:v>7042.34</x:v>
      </x:c>
      <x:c r="I1067" s="15" t="n">
        <x:v>5982</x:v>
      </x:c>
      <x:c r="J1067" s="15" t="n">
        <x:v>1060.34</x:v>
      </x:c>
      <x:c r="K1067" t="str">
        <x:f>XLOOKUP(B1067,Orders!A:A,Orders!E:E,"")</x:f>
        <x:v>West</x:v>
      </x:c>
      <x:c r="L1067" t="n">
        <x:f>XLOOKUP(B1067,Orders!A:A,Orders!B:B,"")</x:f>
        <x:v>45801</x:v>
      </x:c>
      <x:c r="M1067" t="str">
        <x:f>XLOOKUP(C1067,Products!A:A,Products!C:C,"")</x:f>
        <x:v>Furniture</x:v>
      </x:c>
    </x:row>
    <x:row r="1068">
      <x:c r="A1068" s="15" t="str">
        <x:v>ITEM00439_3</x:v>
      </x:c>
      <x:c r="B1068" s="15" t="str">
        <x:v>ORD00439</x:v>
      </x:c>
      <x:c r="C1068" s="15" t="str">
        <x:v>PROD029</x:v>
      </x:c>
      <x:c r="D1068" s="15" t="n">
        <x:v>6</x:v>
      </x:c>
      <x:c r="E1068" s="15" t="n">
        <x:v>8430.77</x:v>
      </x:c>
      <x:c r="F1068" s="15" t="n">
        <x:v>0</x:v>
      </x:c>
      <x:c r="G1068" s="15" t="n">
        <x:v>50584.62</x:v>
      </x:c>
      <x:c r="H1068" s="15" t="n">
        <x:v>50584.62</x:v>
      </x:c>
      <x:c r="I1068" s="15" t="n">
        <x:v>37110</x:v>
      </x:c>
      <x:c r="J1068" s="15" t="n">
        <x:v>13474.62</x:v>
      </x:c>
      <x:c r="K1068" t="str">
        <x:f>XLOOKUP(B1068,Orders!A:A,Orders!E:E,"")</x:f>
        <x:v>West</x:v>
      </x:c>
      <x:c r="L1068" t="n">
        <x:f>XLOOKUP(B1068,Orders!A:A,Orders!B:B,"")</x:f>
        <x:v>45801</x:v>
      </x:c>
      <x:c r="M1068" t="str">
        <x:f>XLOOKUP(C1068,Products!A:A,Products!C:C,"")</x:f>
        <x:v>Office Supplies</x:v>
      </x:c>
    </x:row>
    <x:row r="1069">
      <x:c r="A1069" s="15" t="str">
        <x:v>ITEM00439_4</x:v>
      </x:c>
      <x:c r="B1069" s="15" t="str">
        <x:v>ORD00439</x:v>
      </x:c>
      <x:c r="C1069" s="15" t="str">
        <x:v>PROD039</x:v>
      </x:c>
      <x:c r="D1069" s="15" t="n">
        <x:v>6</x:v>
      </x:c>
      <x:c r="E1069" s="15" t="n">
        <x:v>5945.62</x:v>
      </x:c>
      <x:c r="F1069" s="15" t="n">
        <x:v>0.15</x:v>
      </x:c>
      <x:c r="G1069" s="15" t="n">
        <x:v>35673.72</x:v>
      </x:c>
      <x:c r="H1069" s="15" t="n">
        <x:v>30322.66</x:v>
      </x:c>
      <x:c r="I1069" s="15" t="n">
        <x:v>27438</x:v>
      </x:c>
      <x:c r="J1069" s="15" t="n">
        <x:v>2884.66</x:v>
      </x:c>
      <x:c r="K1069" t="str">
        <x:f>XLOOKUP(B1069,Orders!A:A,Orders!E:E,"")</x:f>
        <x:v>West</x:v>
      </x:c>
      <x:c r="L1069" t="n">
        <x:f>XLOOKUP(B1069,Orders!A:A,Orders!B:B,"")</x:f>
        <x:v>45801</x:v>
      </x:c>
      <x:c r="M1069" t="str">
        <x:f>XLOOKUP(C1069,Products!A:A,Products!C:C,"")</x:f>
        <x:v>Office Supplies</x:v>
      </x:c>
    </x:row>
    <x:row r="1070">
      <x:c r="A1070" s="15" t="str">
        <x:v>ITEM00440_1</x:v>
      </x:c>
      <x:c r="B1070" s="15" t="str">
        <x:v>ORD00440</x:v>
      </x:c>
      <x:c r="C1070" s="15" t="str">
        <x:v>PROD012</x:v>
      </x:c>
      <x:c r="D1070" s="15" t="n">
        <x:v>6</x:v>
      </x:c>
      <x:c r="E1070" s="15" t="n">
        <x:v>7989.38</x:v>
      </x:c>
      <x:c r="F1070" s="15" t="n">
        <x:v>0.05</x:v>
      </x:c>
      <x:c r="G1070" s="15" t="n">
        <x:v>47936.28</x:v>
      </x:c>
      <x:c r="H1070" s="15" t="n">
        <x:v>45539.47</x:v>
      </x:c>
      <x:c r="I1070" s="15" t="n">
        <x:v>38910</x:v>
      </x:c>
      <x:c r="J1070" s="15" t="n">
        <x:v>6629.47</x:v>
      </x:c>
      <x:c r="K1070" t="str">
        <x:f>XLOOKUP(B1070,Orders!A:A,Orders!E:E,"")</x:f>
        <x:v>West</x:v>
      </x:c>
      <x:c r="L1070" t="n">
        <x:f>XLOOKUP(B1070,Orders!A:A,Orders!B:B,"")</x:f>
        <x:v>45745</x:v>
      </x:c>
      <x:c r="M1070" t="str">
        <x:f>XLOOKUP(C1070,Products!A:A,Products!C:C,"")</x:f>
        <x:v>Electronics</x:v>
      </x:c>
    </x:row>
    <x:row r="1071">
      <x:c r="A1071" s="15" t="str">
        <x:v>ITEM00441_1</x:v>
      </x:c>
      <x:c r="B1071" s="15" t="str">
        <x:v>ORD00441</x:v>
      </x:c>
      <x:c r="C1071" s="15" t="str">
        <x:v>PROD030</x:v>
      </x:c>
      <x:c r="D1071" s="15" t="n">
        <x:v>4</x:v>
      </x:c>
      <x:c r="E1071" s="15" t="n">
        <x:v>5180.7</x:v>
      </x:c>
      <x:c r="F1071" s="15" t="n">
        <x:v>0</x:v>
      </x:c>
      <x:c r="G1071" s="15" t="n">
        <x:v>20722.8</x:v>
      </x:c>
      <x:c r="H1071" s="15" t="n">
        <x:v>20722.8</x:v>
      </x:c>
      <x:c r="I1071" s="15" t="n">
        <x:v>15552</x:v>
      </x:c>
      <x:c r="J1071" s="15" t="n">
        <x:v>5170.8</x:v>
      </x:c>
      <x:c r="K1071" t="str">
        <x:f>XLOOKUP(B1071,Orders!A:A,Orders!E:E,"")</x:f>
        <x:v>North</x:v>
      </x:c>
      <x:c r="L1071" t="n">
        <x:f>XLOOKUP(B1071,Orders!A:A,Orders!B:B,"")</x:f>
        <x:v>45995</x:v>
      </x:c>
      <x:c r="M1071" t="str">
        <x:f>XLOOKUP(C1071,Products!A:A,Products!C:C,"")</x:f>
        <x:v>Office Supplies</x:v>
      </x:c>
    </x:row>
    <x:row r="1072">
      <x:c r="A1072" s="15" t="str">
        <x:v>ITEM00441_2</x:v>
      </x:c>
      <x:c r="B1072" s="15" t="str">
        <x:v>ORD00441</x:v>
      </x:c>
      <x:c r="C1072" s="15" t="str">
        <x:v>PROD022</x:v>
      </x:c>
      <x:c r="D1072" s="15" t="n">
        <x:v>8</x:v>
      </x:c>
      <x:c r="E1072" s="15" t="n">
        <x:v>7775.36</x:v>
      </x:c>
      <x:c r="F1072" s="15" t="n">
        <x:v>0.05</x:v>
      </x:c>
      <x:c r="G1072" s="15" t="n">
        <x:v>62202.88</x:v>
      </x:c>
      <x:c r="H1072" s="15" t="n">
        <x:v>59092.74</x:v>
      </x:c>
      <x:c r="I1072" s="15" t="n">
        <x:v>50648</x:v>
      </x:c>
      <x:c r="J1072" s="15" t="n">
        <x:v>8444.74</x:v>
      </x:c>
      <x:c r="K1072" t="str">
        <x:f>XLOOKUP(B1072,Orders!A:A,Orders!E:E,"")</x:f>
        <x:v>North</x:v>
      </x:c>
      <x:c r="L1072" t="n">
        <x:f>XLOOKUP(B1072,Orders!A:A,Orders!B:B,"")</x:f>
        <x:v>45995</x:v>
      </x:c>
      <x:c r="M1072" t="str">
        <x:f>XLOOKUP(C1072,Products!A:A,Products!C:C,"")</x:f>
        <x:v>Furniture</x:v>
      </x:c>
    </x:row>
    <x:row r="1073">
      <x:c r="A1073" s="15" t="str">
        <x:v>ITEM00441_3</x:v>
      </x:c>
      <x:c r="B1073" s="15" t="str">
        <x:v>ORD00441</x:v>
      </x:c>
      <x:c r="C1073" s="15" t="str">
        <x:v>PROD026</x:v>
      </x:c>
      <x:c r="D1073" s="15" t="n">
        <x:v>8</x:v>
      </x:c>
      <x:c r="E1073" s="15" t="n">
        <x:v>3848.69</x:v>
      </x:c>
      <x:c r="F1073" s="15" t="n">
        <x:v>0.15</x:v>
      </x:c>
      <x:c r="G1073" s="15" t="n">
        <x:v>30789.52</x:v>
      </x:c>
      <x:c r="H1073" s="15" t="n">
        <x:v>26171.09</x:v>
      </x:c>
      <x:c r="I1073" s="15" t="n">
        <x:v>21072</x:v>
      </x:c>
      <x:c r="J1073" s="15" t="n">
        <x:v>5099.09</x:v>
      </x:c>
      <x:c r="K1073" t="str">
        <x:f>XLOOKUP(B1073,Orders!A:A,Orders!E:E,"")</x:f>
        <x:v>North</x:v>
      </x:c>
      <x:c r="L1073" t="n">
        <x:f>XLOOKUP(B1073,Orders!A:A,Orders!B:B,"")</x:f>
        <x:v>45995</x:v>
      </x:c>
      <x:c r="M1073" t="str">
        <x:f>XLOOKUP(C1073,Products!A:A,Products!C:C,"")</x:f>
        <x:v>Accessories</x:v>
      </x:c>
    </x:row>
    <x:row r="1074">
      <x:c r="A1074" s="15" t="str">
        <x:v>ITEM00442_1</x:v>
      </x:c>
      <x:c r="B1074" s="15" t="str">
        <x:v>ORD00442</x:v>
      </x:c>
      <x:c r="C1074" s="15" t="str">
        <x:v>PROD039</x:v>
      </x:c>
      <x:c r="D1074" s="15" t="n">
        <x:v>6</x:v>
      </x:c>
      <x:c r="E1074" s="15" t="n">
        <x:v>5945.62</x:v>
      </x:c>
      <x:c r="F1074" s="15" t="n">
        <x:v>0.05</x:v>
      </x:c>
      <x:c r="G1074" s="15" t="n">
        <x:v>35673.72</x:v>
      </x:c>
      <x:c r="H1074" s="15" t="n">
        <x:v>33890.03</x:v>
      </x:c>
      <x:c r="I1074" s="15" t="n">
        <x:v>27438</x:v>
      </x:c>
      <x:c r="J1074" s="15" t="n">
        <x:v>6452.03</x:v>
      </x:c>
      <x:c r="K1074" t="str">
        <x:f>XLOOKUP(B1074,Orders!A:A,Orders!E:E,"")</x:f>
        <x:v>North</x:v>
      </x:c>
      <x:c r="L1074" t="n">
        <x:f>XLOOKUP(B1074,Orders!A:A,Orders!B:B,"")</x:f>
        <x:v>45876</x:v>
      </x:c>
      <x:c r="M1074" t="str">
        <x:f>XLOOKUP(C1074,Products!A:A,Products!C:C,"")</x:f>
        <x:v>Office Supplies</x:v>
      </x:c>
    </x:row>
    <x:row r="1075">
      <x:c r="A1075" s="15" t="str">
        <x:v>ITEM00442_2</x:v>
      </x:c>
      <x:c r="B1075" s="15" t="str">
        <x:v>ORD00442</x:v>
      </x:c>
      <x:c r="C1075" s="15" t="str">
        <x:v>PROD007</x:v>
      </x:c>
      <x:c r="D1075" s="15" t="n">
        <x:v>4</x:v>
      </x:c>
      <x:c r="E1075" s="15" t="n">
        <x:v>5013.07</x:v>
      </x:c>
      <x:c r="F1075" s="15" t="n">
        <x:v>0.15</x:v>
      </x:c>
      <x:c r="G1075" s="15" t="n">
        <x:v>20052.28</x:v>
      </x:c>
      <x:c r="H1075" s="15" t="n">
        <x:v>17044.44</x:v>
      </x:c>
      <x:c r="I1075" s="15" t="n">
        <x:v>15764</x:v>
      </x:c>
      <x:c r="J1075" s="15" t="n">
        <x:v>1280.44</x:v>
      </x:c>
      <x:c r="K1075" t="str">
        <x:f>XLOOKUP(B1075,Orders!A:A,Orders!E:E,"")</x:f>
        <x:v>North</x:v>
      </x:c>
      <x:c r="L1075" t="n">
        <x:f>XLOOKUP(B1075,Orders!A:A,Orders!B:B,"")</x:f>
        <x:v>45876</x:v>
      </x:c>
      <x:c r="M1075" t="str">
        <x:f>XLOOKUP(C1075,Products!A:A,Products!C:C,"")</x:f>
        <x:v>Electronics</x:v>
      </x:c>
    </x:row>
    <x:row r="1076">
      <x:c r="A1076" s="15" t="str">
        <x:v>ITEM00443_1</x:v>
      </x:c>
      <x:c r="B1076" s="15" t="str">
        <x:v>ORD00443</x:v>
      </x:c>
      <x:c r="C1076" s="15" t="str">
        <x:v>PROD026</x:v>
      </x:c>
      <x:c r="D1076" s="15" t="n">
        <x:v>2</x:v>
      </x:c>
      <x:c r="E1076" s="15" t="n">
        <x:v>3848.69</x:v>
      </x:c>
      <x:c r="F1076" s="15" t="n">
        <x:v>0</x:v>
      </x:c>
      <x:c r="G1076" s="15" t="n">
        <x:v>7697.38</x:v>
      </x:c>
      <x:c r="H1076" s="15" t="n">
        <x:v>7697.38</x:v>
      </x:c>
      <x:c r="I1076" s="15" t="n">
        <x:v>5268</x:v>
      </x:c>
      <x:c r="J1076" s="15" t="n">
        <x:v>2429.38</x:v>
      </x:c>
      <x:c r="K1076" t="str">
        <x:f>XLOOKUP(B1076,Orders!A:A,Orders!E:E,"")</x:f>
        <x:v>West</x:v>
      </x:c>
      <x:c r="L1076" t="n">
        <x:f>XLOOKUP(B1076,Orders!A:A,Orders!B:B,"")</x:f>
        <x:v>46106</x:v>
      </x:c>
      <x:c r="M1076" t="str">
        <x:f>XLOOKUP(C1076,Products!A:A,Products!C:C,"")</x:f>
        <x:v>Accessories</x:v>
      </x:c>
    </x:row>
    <x:row r="1077">
      <x:c r="A1077" s="15" t="str">
        <x:v>ITEM00444_1</x:v>
      </x:c>
      <x:c r="B1077" s="15" t="str">
        <x:v>ORD00444</x:v>
      </x:c>
      <x:c r="C1077" s="15" t="str">
        <x:v>PROD012</x:v>
      </x:c>
      <x:c r="D1077" s="15" t="n">
        <x:v>5</x:v>
      </x:c>
      <x:c r="E1077" s="15" t="n">
        <x:v>7989.38</x:v>
      </x:c>
      <x:c r="F1077" s="15" t="n">
        <x:v>0.05</x:v>
      </x:c>
      <x:c r="G1077" s="15" t="n">
        <x:v>39946.9</x:v>
      </x:c>
      <x:c r="H1077" s="15" t="n">
        <x:v>37949.56</x:v>
      </x:c>
      <x:c r="I1077" s="15" t="n">
        <x:v>32425</x:v>
      </x:c>
      <x:c r="J1077" s="15" t="n">
        <x:v>5524.56</x:v>
      </x:c>
      <x:c r="K1077" t="str">
        <x:f>XLOOKUP(B1077,Orders!A:A,Orders!E:E,"")</x:f>
        <x:v>North</x:v>
      </x:c>
      <x:c r="L1077" t="n">
        <x:f>XLOOKUP(B1077,Orders!A:A,Orders!B:B,"")</x:f>
        <x:v>45956</x:v>
      </x:c>
      <x:c r="M1077" t="str">
        <x:f>XLOOKUP(C1077,Products!A:A,Products!C:C,"")</x:f>
        <x:v>Electronics</x:v>
      </x:c>
    </x:row>
    <x:row r="1078">
      <x:c r="A1078" s="15" t="str">
        <x:v>ITEM00444_2</x:v>
      </x:c>
      <x:c r="B1078" s="15" t="str">
        <x:v>ORD00444</x:v>
      </x:c>
      <x:c r="C1078" s="15" t="str">
        <x:v>PROD026</x:v>
      </x:c>
      <x:c r="D1078" s="15" t="n">
        <x:v>8</x:v>
      </x:c>
      <x:c r="E1078" s="15" t="n">
        <x:v>3848.69</x:v>
      </x:c>
      <x:c r="F1078" s="15" t="n">
        <x:v>0.1</x:v>
      </x:c>
      <x:c r="G1078" s="15" t="n">
        <x:v>30789.52</x:v>
      </x:c>
      <x:c r="H1078" s="15" t="n">
        <x:v>27710.57</x:v>
      </x:c>
      <x:c r="I1078" s="15" t="n">
        <x:v>21072</x:v>
      </x:c>
      <x:c r="J1078" s="15" t="n">
        <x:v>6638.57</x:v>
      </x:c>
      <x:c r="K1078" t="str">
        <x:f>XLOOKUP(B1078,Orders!A:A,Orders!E:E,"")</x:f>
        <x:v>North</x:v>
      </x:c>
      <x:c r="L1078" t="n">
        <x:f>XLOOKUP(B1078,Orders!A:A,Orders!B:B,"")</x:f>
        <x:v>45956</x:v>
      </x:c>
      <x:c r="M1078" t="str">
        <x:f>XLOOKUP(C1078,Products!A:A,Products!C:C,"")</x:f>
        <x:v>Accessories</x:v>
      </x:c>
    </x:row>
    <x:row r="1079">
      <x:c r="A1079" s="15" t="str">
        <x:v>ITEM00444_3</x:v>
      </x:c>
      <x:c r="B1079" s="15" t="str">
        <x:v>ORD00444</x:v>
      </x:c>
      <x:c r="C1079" s="15" t="str">
        <x:v>PROD015</x:v>
      </x:c>
      <x:c r="D1079" s="15" t="n">
        <x:v>2</x:v>
      </x:c>
      <x:c r="E1079" s="15" t="n">
        <x:v>5903.1</x:v>
      </x:c>
      <x:c r="F1079" s="15" t="n">
        <x:v>0.1</x:v>
      </x:c>
      <x:c r="G1079" s="15" t="n">
        <x:v>11806.2</x:v>
      </x:c>
      <x:c r="H1079" s="15" t="n">
        <x:v>10625.58</x:v>
      </x:c>
      <x:c r="I1079" s="15" t="n">
        <x:v>9570</x:v>
      </x:c>
      <x:c r="J1079" s="15" t="n">
        <x:v>1055.58</x:v>
      </x:c>
      <x:c r="K1079" t="str">
        <x:f>XLOOKUP(B1079,Orders!A:A,Orders!E:E,"")</x:f>
        <x:v>North</x:v>
      </x:c>
      <x:c r="L1079" t="n">
        <x:f>XLOOKUP(B1079,Orders!A:A,Orders!B:B,"")</x:f>
        <x:v>45956</x:v>
      </x:c>
      <x:c r="M1079" t="str">
        <x:f>XLOOKUP(C1079,Products!A:A,Products!C:C,"")</x:f>
        <x:v>Electronics</x:v>
      </x:c>
    </x:row>
    <x:row r="1080">
      <x:c r="A1080" s="15" t="str">
        <x:v>ITEM00444_4</x:v>
      </x:c>
      <x:c r="B1080" s="15" t="str">
        <x:v>ORD00444</x:v>
      </x:c>
      <x:c r="C1080" s="15" t="str">
        <x:v>PROD004</x:v>
      </x:c>
      <x:c r="D1080" s="15" t="n">
        <x:v>3</x:v>
      </x:c>
      <x:c r="E1080" s="15" t="n">
        <x:v>5435.39</x:v>
      </x:c>
      <x:c r="F1080" s="15" t="n">
        <x:v>0.15</x:v>
      </x:c>
      <x:c r="G1080" s="15" t="n">
        <x:v>16306.17</x:v>
      </x:c>
      <x:c r="H1080" s="15" t="n">
        <x:v>13860.24</x:v>
      </x:c>
      <x:c r="I1080" s="15" t="n">
        <x:v>12423</x:v>
      </x:c>
      <x:c r="J1080" s="15" t="n">
        <x:v>1437.24</x:v>
      </x:c>
      <x:c r="K1080" t="str">
        <x:f>XLOOKUP(B1080,Orders!A:A,Orders!E:E,"")</x:f>
        <x:v>North</x:v>
      </x:c>
      <x:c r="L1080" t="n">
        <x:f>XLOOKUP(B1080,Orders!A:A,Orders!B:B,"")</x:f>
        <x:v>45956</x:v>
      </x:c>
      <x:c r="M1080" t="str">
        <x:f>XLOOKUP(C1080,Products!A:A,Products!C:C,"")</x:f>
        <x:v>Office Supplies</x:v>
      </x:c>
    </x:row>
    <x:row r="1081">
      <x:c r="A1081" s="15" t="str">
        <x:v>ITEM00445_1</x:v>
      </x:c>
      <x:c r="B1081" s="15" t="str">
        <x:v>ORD00445</x:v>
      </x:c>
      <x:c r="C1081" s="15" t="str">
        <x:v>PROD012</x:v>
      </x:c>
      <x:c r="D1081" s="15" t="n">
        <x:v>4</x:v>
      </x:c>
      <x:c r="E1081" s="15" t="n">
        <x:v>7989.38</x:v>
      </x:c>
      <x:c r="F1081" s="15" t="n">
        <x:v>0.05</x:v>
      </x:c>
      <x:c r="G1081" s="15" t="n">
        <x:v>31957.52</x:v>
      </x:c>
      <x:c r="H1081" s="15" t="n">
        <x:v>30359.64</x:v>
      </x:c>
      <x:c r="I1081" s="15" t="n">
        <x:v>25940</x:v>
      </x:c>
      <x:c r="J1081" s="15" t="n">
        <x:v>4419.64</x:v>
      </x:c>
      <x:c r="K1081" t="str">
        <x:f>XLOOKUP(B1081,Orders!A:A,Orders!E:E,"")</x:f>
        <x:v>North</x:v>
      </x:c>
      <x:c r="L1081" t="n">
        <x:f>XLOOKUP(B1081,Orders!A:A,Orders!B:B,"")</x:f>
        <x:v>46130</x:v>
      </x:c>
      <x:c r="M1081" t="str">
        <x:f>XLOOKUP(C1081,Products!A:A,Products!C:C,"")</x:f>
        <x:v>Electronics</x:v>
      </x:c>
    </x:row>
    <x:row r="1082">
      <x:c r="A1082" s="15" t="str">
        <x:v>ITEM00445_2</x:v>
      </x:c>
      <x:c r="B1082" s="15" t="str">
        <x:v>ORD00445</x:v>
      </x:c>
      <x:c r="C1082" s="15" t="str">
        <x:v>PROD027</x:v>
      </x:c>
      <x:c r="D1082" s="15" t="n">
        <x:v>6</x:v>
      </x:c>
      <x:c r="E1082" s="15" t="n">
        <x:v>6979.71</x:v>
      </x:c>
      <x:c r="F1082" s="15" t="n">
        <x:v>0.1</x:v>
      </x:c>
      <x:c r="G1082" s="15" t="n">
        <x:v>41878.26</x:v>
      </x:c>
      <x:c r="H1082" s="15" t="n">
        <x:v>37690.43</x:v>
      </x:c>
      <x:c r="I1082" s="15" t="n">
        <x:v>33822</x:v>
      </x:c>
      <x:c r="J1082" s="15" t="n">
        <x:v>3868.43</x:v>
      </x:c>
      <x:c r="K1082" t="str">
        <x:f>XLOOKUP(B1082,Orders!A:A,Orders!E:E,"")</x:f>
        <x:v>North</x:v>
      </x:c>
      <x:c r="L1082" t="n">
        <x:f>XLOOKUP(B1082,Orders!A:A,Orders!B:B,"")</x:f>
        <x:v>46130</x:v>
      </x:c>
      <x:c r="M1082" t="str">
        <x:f>XLOOKUP(C1082,Products!A:A,Products!C:C,"")</x:f>
        <x:v>Electronics</x:v>
      </x:c>
    </x:row>
    <x:row r="1083">
      <x:c r="A1083" s="15" t="str">
        <x:v>ITEM00445_3</x:v>
      </x:c>
      <x:c r="B1083" s="15" t="str">
        <x:v>ORD00445</x:v>
      </x:c>
      <x:c r="C1083" s="15" t="str">
        <x:v>PROD027</x:v>
      </x:c>
      <x:c r="D1083" s="15" t="n">
        <x:v>8</x:v>
      </x:c>
      <x:c r="E1083" s="15" t="n">
        <x:v>6979.71</x:v>
      </x:c>
      <x:c r="F1083" s="15" t="n">
        <x:v>0.15</x:v>
      </x:c>
      <x:c r="G1083" s="15" t="n">
        <x:v>55837.68</x:v>
      </x:c>
      <x:c r="H1083" s="15" t="n">
        <x:v>47462.03</x:v>
      </x:c>
      <x:c r="I1083" s="15" t="n">
        <x:v>45096</x:v>
      </x:c>
      <x:c r="J1083" s="15" t="n">
        <x:v>2366.03</x:v>
      </x:c>
      <x:c r="K1083" t="str">
        <x:f>XLOOKUP(B1083,Orders!A:A,Orders!E:E,"")</x:f>
        <x:v>North</x:v>
      </x:c>
      <x:c r="L1083" t="n">
        <x:f>XLOOKUP(B1083,Orders!A:A,Orders!B:B,"")</x:f>
        <x:v>46130</x:v>
      </x:c>
      <x:c r="M1083" t="str">
        <x:f>XLOOKUP(C1083,Products!A:A,Products!C:C,"")</x:f>
        <x:v>Electronics</x:v>
      </x:c>
    </x:row>
    <x:row r="1084">
      <x:c r="A1084" s="15" t="str">
        <x:v>ITEM00446_1</x:v>
      </x:c>
      <x:c r="B1084" s="15" t="str">
        <x:v>ORD00446</x:v>
      </x:c>
      <x:c r="C1084" s="15" t="str">
        <x:v>PROD017</x:v>
      </x:c>
      <x:c r="D1084" s="15" t="n">
        <x:v>4</x:v>
      </x:c>
      <x:c r="E1084" s="15" t="n">
        <x:v>7311.62</x:v>
      </x:c>
      <x:c r="F1084" s="15" t="n">
        <x:v>0.05</x:v>
      </x:c>
      <x:c r="G1084" s="15" t="n">
        <x:v>29246.48</x:v>
      </x:c>
      <x:c r="H1084" s="15" t="n">
        <x:v>27784.16</x:v>
      </x:c>
      <x:c r="I1084" s="15" t="n">
        <x:v>21032</x:v>
      </x:c>
      <x:c r="J1084" s="15" t="n">
        <x:v>6752.16</x:v>
      </x:c>
      <x:c r="K1084" t="str">
        <x:f>XLOOKUP(B1084,Orders!A:A,Orders!E:E,"")</x:f>
        <x:v>North</x:v>
      </x:c>
      <x:c r="L1084" t="n">
        <x:f>XLOOKUP(B1084,Orders!A:A,Orders!B:B,"")</x:f>
        <x:v>46003</x:v>
      </x:c>
      <x:c r="M1084" t="str">
        <x:f>XLOOKUP(C1084,Products!A:A,Products!C:C,"")</x:f>
        <x:v>Accessories</x:v>
      </x:c>
    </x:row>
    <x:row r="1085">
      <x:c r="A1085" s="15" t="str">
        <x:v>ITEM00446_2</x:v>
      </x:c>
      <x:c r="B1085" s="15" t="str">
        <x:v>ORD00446</x:v>
      </x:c>
      <x:c r="C1085" s="15" t="str">
        <x:v>PROD021</x:v>
      </x:c>
      <x:c r="D1085" s="15" t="n">
        <x:v>6</x:v>
      </x:c>
      <x:c r="E1085" s="15" t="n">
        <x:v>6748.85</x:v>
      </x:c>
      <x:c r="F1085" s="15" t="n">
        <x:v>0</x:v>
      </x:c>
      <x:c r="G1085" s="15" t="n">
        <x:v>40493.1</x:v>
      </x:c>
      <x:c r="H1085" s="15" t="n">
        <x:v>40493.1</x:v>
      </x:c>
      <x:c r="I1085" s="15" t="n">
        <x:v>29994</x:v>
      </x:c>
      <x:c r="J1085" s="15" t="n">
        <x:v>10499.1</x:v>
      </x:c>
      <x:c r="K1085" t="str">
        <x:f>XLOOKUP(B1085,Orders!A:A,Orders!E:E,"")</x:f>
        <x:v>North</x:v>
      </x:c>
      <x:c r="L1085" t="n">
        <x:f>XLOOKUP(B1085,Orders!A:A,Orders!B:B,"")</x:f>
        <x:v>46003</x:v>
      </x:c>
      <x:c r="M1085" t="str">
        <x:f>XLOOKUP(C1085,Products!A:A,Products!C:C,"")</x:f>
        <x:v>Electronics</x:v>
      </x:c>
    </x:row>
    <x:row r="1086">
      <x:c r="A1086" s="15" t="str">
        <x:v>ITEM00446_3</x:v>
      </x:c>
      <x:c r="B1086" s="15" t="str">
        <x:v>ORD00446</x:v>
      </x:c>
      <x:c r="C1086" s="15" t="str">
        <x:v>PROD014</x:v>
      </x:c>
      <x:c r="D1086" s="15" t="n">
        <x:v>4</x:v>
      </x:c>
      <x:c r="E1086" s="15" t="n">
        <x:v>1611.65</x:v>
      </x:c>
      <x:c r="F1086" s="15" t="n">
        <x:v>0.15</x:v>
      </x:c>
      <x:c r="G1086" s="15" t="n">
        <x:v>6446.6</x:v>
      </x:c>
      <x:c r="H1086" s="15" t="n">
        <x:v>5479.61</x:v>
      </x:c>
      <x:c r="I1086" s="15" t="n">
        <x:v>4932</x:v>
      </x:c>
      <x:c r="J1086" s="15" t="n">
        <x:v>547.61</x:v>
      </x:c>
      <x:c r="K1086" t="str">
        <x:f>XLOOKUP(B1086,Orders!A:A,Orders!E:E,"")</x:f>
        <x:v>North</x:v>
      </x:c>
      <x:c r="L1086" t="n">
        <x:f>XLOOKUP(B1086,Orders!A:A,Orders!B:B,"")</x:f>
        <x:v>46003</x:v>
      </x:c>
      <x:c r="M1086" t="str">
        <x:f>XLOOKUP(C1086,Products!A:A,Products!C:C,"")</x:f>
        <x:v>Office Supplies</x:v>
      </x:c>
    </x:row>
    <x:row r="1087">
      <x:c r="A1087" s="15" t="str">
        <x:v>ITEM00446_4</x:v>
      </x:c>
      <x:c r="B1087" s="15" t="str">
        <x:v>ORD00446</x:v>
      </x:c>
      <x:c r="C1087" s="15" t="str">
        <x:v>PROD038</x:v>
      </x:c>
      <x:c r="D1087" s="15" t="n">
        <x:v>6</x:v>
      </x:c>
      <x:c r="E1087" s="15" t="n">
        <x:v>5219.7</x:v>
      </x:c>
      <x:c r="F1087" s="15" t="n">
        <x:v>0.15</x:v>
      </x:c>
      <x:c r="G1087" s="15" t="n">
        <x:v>31318.2</x:v>
      </x:c>
      <x:c r="H1087" s="15" t="n">
        <x:v>26620.47</x:v>
      </x:c>
      <x:c r="I1087" s="15" t="n">
        <x:v>23616</x:v>
      </x:c>
      <x:c r="J1087" s="15" t="n">
        <x:v>3004.47</x:v>
      </x:c>
      <x:c r="K1087" t="str">
        <x:f>XLOOKUP(B1087,Orders!A:A,Orders!E:E,"")</x:f>
        <x:v>North</x:v>
      </x:c>
      <x:c r="L1087" t="n">
        <x:f>XLOOKUP(B1087,Orders!A:A,Orders!B:B,"")</x:f>
        <x:v>46003</x:v>
      </x:c>
      <x:c r="M1087" t="str">
        <x:f>XLOOKUP(C1087,Products!A:A,Products!C:C,"")</x:f>
        <x:v>Office Supplies</x:v>
      </x:c>
    </x:row>
    <x:row r="1088">
      <x:c r="A1088" s="15" t="str">
        <x:v>ITEM00447_1</x:v>
      </x:c>
      <x:c r="B1088" s="15" t="str">
        <x:v>ORD00447</x:v>
      </x:c>
      <x:c r="C1088" s="15" t="str">
        <x:v>PROD010</x:v>
      </x:c>
      <x:c r="D1088" s="15" t="n">
        <x:v>1</x:v>
      </x:c>
      <x:c r="E1088" s="15" t="n">
        <x:v>8670.63</x:v>
      </x:c>
      <x:c r="F1088" s="15" t="n">
        <x:v>0.15</x:v>
      </x:c>
      <x:c r="G1088" s="15" t="n">
        <x:v>8670.63</x:v>
      </x:c>
      <x:c r="H1088" s="15" t="n">
        <x:v>7370.04</x:v>
      </x:c>
      <x:c r="I1088" s="15" t="n">
        <x:v>5853</x:v>
      </x:c>
      <x:c r="J1088" s="15" t="n">
        <x:v>1517.04</x:v>
      </x:c>
      <x:c r="K1088" t="str">
        <x:f>XLOOKUP(B1088,Orders!A:A,Orders!E:E,"")</x:f>
        <x:v>North</x:v>
      </x:c>
      <x:c r="L1088" t="n">
        <x:f>XLOOKUP(B1088,Orders!A:A,Orders!B:B,"")</x:f>
        <x:v>45824</x:v>
      </x:c>
      <x:c r="M1088" t="str">
        <x:f>XLOOKUP(C1088,Products!A:A,Products!C:C,"")</x:f>
        <x:v>Accessories</x:v>
      </x:c>
    </x:row>
    <x:row r="1089">
      <x:c r="A1089" s="15" t="str">
        <x:v>ITEM00447_2</x:v>
      </x:c>
      <x:c r="B1089" s="15" t="str">
        <x:v>ORD00447</x:v>
      </x:c>
      <x:c r="C1089" s="15" t="str">
        <x:v>PROD007</x:v>
      </x:c>
      <x:c r="D1089" s="15" t="n">
        <x:v>1</x:v>
      </x:c>
      <x:c r="E1089" s="15" t="n">
        <x:v>5013.07</x:v>
      </x:c>
      <x:c r="F1089" s="15" t="n">
        <x:v>0.05</x:v>
      </x:c>
      <x:c r="G1089" s="15" t="n">
        <x:v>5013.07</x:v>
      </x:c>
      <x:c r="H1089" s="15" t="n">
        <x:v>4762.42</x:v>
      </x:c>
      <x:c r="I1089" s="15" t="n">
        <x:v>3941</x:v>
      </x:c>
      <x:c r="J1089" s="15" t="n">
        <x:v>821.42</x:v>
      </x:c>
      <x:c r="K1089" t="str">
        <x:f>XLOOKUP(B1089,Orders!A:A,Orders!E:E,"")</x:f>
        <x:v>North</x:v>
      </x:c>
      <x:c r="L1089" t="n">
        <x:f>XLOOKUP(B1089,Orders!A:A,Orders!B:B,"")</x:f>
        <x:v>45824</x:v>
      </x:c>
      <x:c r="M1089" t="str">
        <x:f>XLOOKUP(C1089,Products!A:A,Products!C:C,"")</x:f>
        <x:v>Electronics</x:v>
      </x:c>
    </x:row>
    <x:row r="1090">
      <x:c r="A1090" s="15" t="str">
        <x:v>ITEM00447_3</x:v>
      </x:c>
      <x:c r="B1090" s="15" t="str">
        <x:v>ORD00447</x:v>
      </x:c>
      <x:c r="C1090" s="15" t="str">
        <x:v>PROD036</x:v>
      </x:c>
      <x:c r="D1090" s="15" t="n">
        <x:v>2</x:v>
      </x:c>
      <x:c r="E1090" s="15" t="n">
        <x:v>7158.64</x:v>
      </x:c>
      <x:c r="F1090" s="15" t="n">
        <x:v>0.15</x:v>
      </x:c>
      <x:c r="G1090" s="15" t="n">
        <x:v>14317.28</x:v>
      </x:c>
      <x:c r="H1090" s="15" t="n">
        <x:v>12169.69</x:v>
      </x:c>
      <x:c r="I1090" s="15" t="n">
        <x:v>10342</x:v>
      </x:c>
      <x:c r="J1090" s="15" t="n">
        <x:v>1827.69</x:v>
      </x:c>
      <x:c r="K1090" t="str">
        <x:f>XLOOKUP(B1090,Orders!A:A,Orders!E:E,"")</x:f>
        <x:v>North</x:v>
      </x:c>
      <x:c r="L1090" t="n">
        <x:f>XLOOKUP(B1090,Orders!A:A,Orders!B:B,"")</x:f>
        <x:v>45824</x:v>
      </x:c>
      <x:c r="M1090" t="str">
        <x:f>XLOOKUP(C1090,Products!A:A,Products!C:C,"")</x:f>
        <x:v>Accessories</x:v>
      </x:c>
    </x:row>
    <x:row r="1091">
      <x:c r="A1091" s="15" t="str">
        <x:v>ITEM00447_4</x:v>
      </x:c>
      <x:c r="B1091" s="15" t="str">
        <x:v>ORD00447</x:v>
      </x:c>
      <x:c r="C1091" s="15" t="str">
        <x:v>PROD004</x:v>
      </x:c>
      <x:c r="D1091" s="15" t="n">
        <x:v>1</x:v>
      </x:c>
      <x:c r="E1091" s="15" t="n">
        <x:v>5435.39</x:v>
      </x:c>
      <x:c r="F1091" s="15" t="n">
        <x:v>0.15</x:v>
      </x:c>
      <x:c r="G1091" s="15" t="n">
        <x:v>5435.39</x:v>
      </x:c>
      <x:c r="H1091" s="15" t="n">
        <x:v>4620.08</x:v>
      </x:c>
      <x:c r="I1091" s="15" t="n">
        <x:v>4141</x:v>
      </x:c>
      <x:c r="J1091" s="15" t="n">
        <x:v>479.08</x:v>
      </x:c>
      <x:c r="K1091" t="str">
        <x:f>XLOOKUP(B1091,Orders!A:A,Orders!E:E,"")</x:f>
        <x:v>North</x:v>
      </x:c>
      <x:c r="L1091" t="n">
        <x:f>XLOOKUP(B1091,Orders!A:A,Orders!B:B,"")</x:f>
        <x:v>45824</x:v>
      </x:c>
      <x:c r="M1091" t="str">
        <x:f>XLOOKUP(C1091,Products!A:A,Products!C:C,"")</x:f>
        <x:v>Office Supplies</x:v>
      </x:c>
    </x:row>
    <x:row r="1092">
      <x:c r="A1092" s="15" t="str">
        <x:v>ITEM00448_1</x:v>
      </x:c>
      <x:c r="B1092" s="15" t="str">
        <x:v>ORD00448</x:v>
      </x:c>
      <x:c r="C1092" s="15" t="str">
        <x:v>PROD031</x:v>
      </x:c>
      <x:c r="D1092" s="15" t="n">
        <x:v>6</x:v>
      </x:c>
      <x:c r="E1092" s="15" t="n">
        <x:v>3371.81</x:v>
      </x:c>
      <x:c r="F1092" s="15" t="n">
        <x:v>0</x:v>
      </x:c>
      <x:c r="G1092" s="15" t="n">
        <x:v>20230.86</x:v>
      </x:c>
      <x:c r="H1092" s="15" t="n">
        <x:v>20230.86</x:v>
      </x:c>
      <x:c r="I1092" s="15" t="n">
        <x:v>16782</x:v>
      </x:c>
      <x:c r="J1092" s="15" t="n">
        <x:v>3448.86</x:v>
      </x:c>
      <x:c r="K1092" t="str">
        <x:f>XLOOKUP(B1092,Orders!A:A,Orders!E:E,"")</x:f>
        <x:v>East</x:v>
      </x:c>
      <x:c r="L1092" t="n">
        <x:f>XLOOKUP(B1092,Orders!A:A,Orders!B:B,"")</x:f>
        <x:v>46080</x:v>
      </x:c>
      <x:c r="M1092" t="str">
        <x:f>XLOOKUP(C1092,Products!A:A,Products!C:C,"")</x:f>
        <x:v>Furniture</x:v>
      </x:c>
    </x:row>
    <x:row r="1093">
      <x:c r="A1093" s="15" t="str">
        <x:v>ITEM00448_2</x:v>
      </x:c>
      <x:c r="B1093" s="15" t="str">
        <x:v>ORD00448</x:v>
      </x:c>
      <x:c r="C1093" s="15" t="str">
        <x:v>PROD040</x:v>
      </x:c>
      <x:c r="D1093" s="15" t="n">
        <x:v>8</x:v>
      </x:c>
      <x:c r="E1093" s="15" t="n">
        <x:v>8561.07</x:v>
      </x:c>
      <x:c r="F1093" s="15" t="n">
        <x:v>0</x:v>
      </x:c>
      <x:c r="G1093" s="15" t="n">
        <x:v>68488.56</x:v>
      </x:c>
      <x:c r="H1093" s="15" t="n">
        <x:v>68488.56</x:v>
      </x:c>
      <x:c r="I1093" s="15" t="n">
        <x:v>54728</x:v>
      </x:c>
      <x:c r="J1093" s="15" t="n">
        <x:v>13760.56</x:v>
      </x:c>
      <x:c r="K1093" t="str">
        <x:f>XLOOKUP(B1093,Orders!A:A,Orders!E:E,"")</x:f>
        <x:v>East</x:v>
      </x:c>
      <x:c r="L1093" t="n">
        <x:f>XLOOKUP(B1093,Orders!A:A,Orders!B:B,"")</x:f>
        <x:v>46080</x:v>
      </x:c>
      <x:c r="M1093" t="str">
        <x:f>XLOOKUP(C1093,Products!A:A,Products!C:C,"")</x:f>
        <x:v>Electronics</x:v>
      </x:c>
    </x:row>
    <x:row r="1094">
      <x:c r="A1094" s="15" t="str">
        <x:v>ITEM00448_3</x:v>
      </x:c>
      <x:c r="B1094" s="15" t="str">
        <x:v>ORD00448</x:v>
      </x:c>
      <x:c r="C1094" s="15" t="str">
        <x:v>PROD036</x:v>
      </x:c>
      <x:c r="D1094" s="15" t="n">
        <x:v>7</x:v>
      </x:c>
      <x:c r="E1094" s="15" t="n">
        <x:v>7158.64</x:v>
      </x:c>
      <x:c r="F1094" s="15" t="n">
        <x:v>0.15</x:v>
      </x:c>
      <x:c r="G1094" s="15" t="n">
        <x:v>50110.48</x:v>
      </x:c>
      <x:c r="H1094" s="15" t="n">
        <x:v>42593.91</x:v>
      </x:c>
      <x:c r="I1094" s="15" t="n">
        <x:v>36197</x:v>
      </x:c>
      <x:c r="J1094" s="15" t="n">
        <x:v>6396.91</x:v>
      </x:c>
      <x:c r="K1094" t="str">
        <x:f>XLOOKUP(B1094,Orders!A:A,Orders!E:E,"")</x:f>
        <x:v>East</x:v>
      </x:c>
      <x:c r="L1094" t="n">
        <x:f>XLOOKUP(B1094,Orders!A:A,Orders!B:B,"")</x:f>
        <x:v>46080</x:v>
      </x:c>
      <x:c r="M1094" t="str">
        <x:f>XLOOKUP(C1094,Products!A:A,Products!C:C,"")</x:f>
        <x:v>Accessories</x:v>
      </x:c>
    </x:row>
    <x:row r="1095">
      <x:c r="A1095" s="15" t="str">
        <x:v>ITEM00449_1</x:v>
      </x:c>
      <x:c r="B1095" s="15" t="str">
        <x:v>ORD00449</x:v>
      </x:c>
      <x:c r="C1095" s="15" t="str">
        <x:v>PROD024</x:v>
      </x:c>
      <x:c r="D1095" s="15" t="n">
        <x:v>4</x:v>
      </x:c>
      <x:c r="E1095" s="15" t="n">
        <x:v>4018</x:v>
      </x:c>
      <x:c r="F1095" s="15" t="n">
        <x:v>0</x:v>
      </x:c>
      <x:c r="G1095" s="15" t="n">
        <x:v>16072</x:v>
      </x:c>
      <x:c r="H1095" s="15" t="n">
        <x:v>16072</x:v>
      </x:c>
      <x:c r="I1095" s="15" t="n">
        <x:v>12768</x:v>
      </x:c>
      <x:c r="J1095" s="15" t="n">
        <x:v>3304</x:v>
      </x:c>
      <x:c r="K1095" t="str">
        <x:f>XLOOKUP(B1095,Orders!A:A,Orders!E:E,"")</x:f>
        <x:v>North</x:v>
      </x:c>
      <x:c r="L1095" t="n">
        <x:f>XLOOKUP(B1095,Orders!A:A,Orders!B:B,"")</x:f>
        <x:v>45833</x:v>
      </x:c>
      <x:c r="M1095" t="str">
        <x:f>XLOOKUP(C1095,Products!A:A,Products!C:C,"")</x:f>
        <x:v>Furniture</x:v>
      </x:c>
    </x:row>
    <x:row r="1096">
      <x:c r="A1096" s="15" t="str">
        <x:v>ITEM00449_2</x:v>
      </x:c>
      <x:c r="B1096" s="15" t="str">
        <x:v>ORD00449</x:v>
      </x:c>
      <x:c r="C1096" s="15" t="str">
        <x:v>PROD021</x:v>
      </x:c>
      <x:c r="D1096" s="15" t="n">
        <x:v>1</x:v>
      </x:c>
      <x:c r="E1096" s="15" t="n">
        <x:v>6748.85</x:v>
      </x:c>
      <x:c r="F1096" s="15" t="n">
        <x:v>0</x:v>
      </x:c>
      <x:c r="G1096" s="15" t="n">
        <x:v>6748.85</x:v>
      </x:c>
      <x:c r="H1096" s="15" t="n">
        <x:v>6748.85</x:v>
      </x:c>
      <x:c r="I1096" s="15" t="n">
        <x:v>4999</x:v>
      </x:c>
      <x:c r="J1096" s="15" t="n">
        <x:v>1749.85</x:v>
      </x:c>
      <x:c r="K1096" t="str">
        <x:f>XLOOKUP(B1096,Orders!A:A,Orders!E:E,"")</x:f>
        <x:v>North</x:v>
      </x:c>
      <x:c r="L1096" t="n">
        <x:f>XLOOKUP(B1096,Orders!A:A,Orders!B:B,"")</x:f>
        <x:v>45833</x:v>
      </x:c>
      <x:c r="M1096" t="str">
        <x:f>XLOOKUP(C1096,Products!A:A,Products!C:C,"")</x:f>
        <x:v>Electronics</x:v>
      </x:c>
    </x:row>
    <x:row r="1097">
      <x:c r="A1097" s="15" t="str">
        <x:v>ITEM00449_3</x:v>
      </x:c>
      <x:c r="B1097" s="15" t="str">
        <x:v>ORD00449</x:v>
      </x:c>
      <x:c r="C1097" s="15" t="str">
        <x:v>PROD031</x:v>
      </x:c>
      <x:c r="D1097" s="15" t="n">
        <x:v>7</x:v>
      </x:c>
      <x:c r="E1097" s="15" t="n">
        <x:v>3371.81</x:v>
      </x:c>
      <x:c r="F1097" s="15" t="n">
        <x:v>0</x:v>
      </x:c>
      <x:c r="G1097" s="15" t="n">
        <x:v>23602.67</x:v>
      </x:c>
      <x:c r="H1097" s="15" t="n">
        <x:v>23602.67</x:v>
      </x:c>
      <x:c r="I1097" s="15" t="n">
        <x:v>19579</x:v>
      </x:c>
      <x:c r="J1097" s="15" t="n">
        <x:v>4023.67</x:v>
      </x:c>
      <x:c r="K1097" t="str">
        <x:f>XLOOKUP(B1097,Orders!A:A,Orders!E:E,"")</x:f>
        <x:v>North</x:v>
      </x:c>
      <x:c r="L1097" t="n">
        <x:f>XLOOKUP(B1097,Orders!A:A,Orders!B:B,"")</x:f>
        <x:v>45833</x:v>
      </x:c>
      <x:c r="M1097" t="str">
        <x:f>XLOOKUP(C1097,Products!A:A,Products!C:C,"")</x:f>
        <x:v>Furniture</x:v>
      </x:c>
    </x:row>
    <x:row r="1098">
      <x:c r="A1098" s="15" t="str">
        <x:v>ITEM00449_4</x:v>
      </x:c>
      <x:c r="B1098" s="15" t="str">
        <x:v>ORD00449</x:v>
      </x:c>
      <x:c r="C1098" s="15" t="str">
        <x:v>PROD034</x:v>
      </x:c>
      <x:c r="D1098" s="15" t="n">
        <x:v>5</x:v>
      </x:c>
      <x:c r="E1098" s="15" t="n">
        <x:v>5451.76</x:v>
      </x:c>
      <x:c r="F1098" s="15" t="n">
        <x:v>0</x:v>
      </x:c>
      <x:c r="G1098" s="15" t="n">
        <x:v>27258.8</x:v>
      </x:c>
      <x:c r="H1098" s="15" t="n">
        <x:v>27258.8</x:v>
      </x:c>
      <x:c r="I1098" s="15" t="n">
        <x:v>18880</x:v>
      </x:c>
      <x:c r="J1098" s="15" t="n">
        <x:v>8378.8</x:v>
      </x:c>
      <x:c r="K1098" t="str">
        <x:f>XLOOKUP(B1098,Orders!A:A,Orders!E:E,"")</x:f>
        <x:v>North</x:v>
      </x:c>
      <x:c r="L1098" t="n">
        <x:f>XLOOKUP(B1098,Orders!A:A,Orders!B:B,"")</x:f>
        <x:v>45833</x:v>
      </x:c>
      <x:c r="M1098" t="str">
        <x:f>XLOOKUP(C1098,Products!A:A,Products!C:C,"")</x:f>
        <x:v>Accessories</x:v>
      </x:c>
    </x:row>
    <x:row r="1099">
      <x:c r="A1099" s="15" t="str">
        <x:v>ITEM00450_1</x:v>
      </x:c>
      <x:c r="B1099" s="15" t="str">
        <x:v>ORD00450</x:v>
      </x:c>
      <x:c r="C1099" s="15" t="str">
        <x:v>PROD005</x:v>
      </x:c>
      <x:c r="D1099" s="15" t="n">
        <x:v>5</x:v>
      </x:c>
      <x:c r="E1099" s="15" t="n">
        <x:v>6453.62</x:v>
      </x:c>
      <x:c r="F1099" s="15" t="n">
        <x:v>0</x:v>
      </x:c>
      <x:c r="G1099" s="15" t="n">
        <x:v>32268.1</x:v>
      </x:c>
      <x:c r="H1099" s="15" t="n">
        <x:v>32268.1</x:v>
      </x:c>
      <x:c r="I1099" s="15" t="n">
        <x:v>24240</x:v>
      </x:c>
      <x:c r="J1099" s="15" t="n">
        <x:v>8028.1</x:v>
      </x:c>
      <x:c r="K1099" t="str">
        <x:f>XLOOKUP(B1099,Orders!A:A,Orders!E:E,"")</x:f>
        <x:v>South</x:v>
      </x:c>
      <x:c r="L1099" t="n">
        <x:f>XLOOKUP(B1099,Orders!A:A,Orders!B:B,"")</x:f>
        <x:v>45947</x:v>
      </x:c>
      <x:c r="M1099" t="str">
        <x:f>XLOOKUP(C1099,Products!A:A,Products!C:C,"")</x:f>
        <x:v>Office Supplies</x:v>
      </x:c>
    </x:row>
    <x:row r="1100">
      <x:c r="A1100" s="15" t="str">
        <x:v>ITEM00450_2</x:v>
      </x:c>
      <x:c r="B1100" s="15" t="str">
        <x:v>ORD00450</x:v>
      </x:c>
      <x:c r="C1100" s="15" t="str">
        <x:v>PROD010</x:v>
      </x:c>
      <x:c r="D1100" s="15" t="n">
        <x:v>4</x:v>
      </x:c>
      <x:c r="E1100" s="15" t="n">
        <x:v>8670.63</x:v>
      </x:c>
      <x:c r="F1100" s="15" t="n">
        <x:v>0</x:v>
      </x:c>
      <x:c r="G1100" s="15" t="n">
        <x:v>34682.52</x:v>
      </x:c>
      <x:c r="H1100" s="15" t="n">
        <x:v>34682.52</x:v>
      </x:c>
      <x:c r="I1100" s="15" t="n">
        <x:v>23412</x:v>
      </x:c>
      <x:c r="J1100" s="15" t="n">
        <x:v>11270.52</x:v>
      </x:c>
      <x:c r="K1100" t="str">
        <x:f>XLOOKUP(B1100,Orders!A:A,Orders!E:E,"")</x:f>
        <x:v>South</x:v>
      </x:c>
      <x:c r="L1100" t="n">
        <x:f>XLOOKUP(B1100,Orders!A:A,Orders!B:B,"")</x:f>
        <x:v>45947</x:v>
      </x:c>
      <x:c r="M1100" t="str">
        <x:f>XLOOKUP(C1100,Products!A:A,Products!C:C,"")</x:f>
        <x:v>Accessories</x:v>
      </x:c>
    </x:row>
    <x:row r="1101">
      <x:c r="A1101" s="15" t="str">
        <x:v>ITEM00450_3</x:v>
      </x:c>
      <x:c r="B1101" s="15" t="str">
        <x:v>ORD00450</x:v>
      </x:c>
      <x:c r="C1101" s="15" t="str">
        <x:v>PROD008</x:v>
      </x:c>
      <x:c r="D1101" s="15" t="n">
        <x:v>1</x:v>
      </x:c>
      <x:c r="E1101" s="15" t="n">
        <x:v>8534.48</x:v>
      </x:c>
      <x:c r="F1101" s="15" t="n">
        <x:v>0.05</x:v>
      </x:c>
      <x:c r="G1101" s="15" t="n">
        <x:v>8534.48</x:v>
      </x:c>
      <x:c r="H1101" s="15" t="n">
        <x:v>8107.76</x:v>
      </x:c>
      <x:c r="I1101" s="15" t="n">
        <x:v>6197</x:v>
      </x:c>
      <x:c r="J1101" s="15" t="n">
        <x:v>1910.76</x:v>
      </x:c>
      <x:c r="K1101" t="str">
        <x:f>XLOOKUP(B1101,Orders!A:A,Orders!E:E,"")</x:f>
        <x:v>South</x:v>
      </x:c>
      <x:c r="L1101" t="n">
        <x:f>XLOOKUP(B1101,Orders!A:A,Orders!B:B,"")</x:f>
        <x:v>45947</x:v>
      </x:c>
      <x:c r="M1101" t="str">
        <x:f>XLOOKUP(C1101,Products!A:A,Products!C:C,"")</x:f>
        <x:v>Office Supplies</x:v>
      </x:c>
    </x:row>
    <x:row r="1102">
      <x:c r="A1102" s="15" t="str">
        <x:v>ITEM00450_4</x:v>
      </x:c>
      <x:c r="B1102" s="15" t="str">
        <x:v>ORD00450</x:v>
      </x:c>
      <x:c r="C1102" s="15" t="str">
        <x:v>PROD025</x:v>
      </x:c>
      <x:c r="D1102" s="15" t="n">
        <x:v>5</x:v>
      </x:c>
      <x:c r="E1102" s="15" t="n">
        <x:v>1148.84</x:v>
      </x:c>
      <x:c r="F1102" s="15" t="n">
        <x:v>0</x:v>
      </x:c>
      <x:c r="G1102" s="15" t="n">
        <x:v>5744.2</x:v>
      </x:c>
      <x:c r="H1102" s="15" t="n">
        <x:v>5744.2</x:v>
      </x:c>
      <x:c r="I1102" s="15" t="n">
        <x:v>4390</x:v>
      </x:c>
      <x:c r="J1102" s="15" t="n">
        <x:v>1354.2</x:v>
      </x:c>
      <x:c r="K1102" t="str">
        <x:f>XLOOKUP(B1102,Orders!A:A,Orders!E:E,"")</x:f>
        <x:v>South</x:v>
      </x:c>
      <x:c r="L1102" t="n">
        <x:f>XLOOKUP(B1102,Orders!A:A,Orders!B:B,"")</x:f>
        <x:v>45947</x:v>
      </x:c>
      <x:c r="M1102" t="str">
        <x:f>XLOOKUP(C1102,Products!A:A,Products!C:C,"")</x:f>
        <x:v>Furniture</x:v>
      </x:c>
    </x:row>
    <x:row r="1103">
      <x:c r="A1103" s="15" t="str">
        <x:v>ITEM00451_1</x:v>
      </x:c>
      <x:c r="B1103" s="15" t="str">
        <x:v>ORD00451</x:v>
      </x:c>
      <x:c r="C1103" s="15" t="str">
        <x:v>PROD026</x:v>
      </x:c>
      <x:c r="D1103" s="15" t="n">
        <x:v>6</x:v>
      </x:c>
      <x:c r="E1103" s="15" t="n">
        <x:v>3848.69</x:v>
      </x:c>
      <x:c r="F1103" s="15" t="n">
        <x:v>0.05</x:v>
      </x:c>
      <x:c r="G1103" s="15" t="n">
        <x:v>23092.14</x:v>
      </x:c>
      <x:c r="H1103" s="15" t="n">
        <x:v>21937.53</x:v>
      </x:c>
      <x:c r="I1103" s="15" t="n">
        <x:v>15804</x:v>
      </x:c>
      <x:c r="J1103" s="15" t="n">
        <x:v>6133.53</x:v>
      </x:c>
      <x:c r="K1103" t="str">
        <x:f>XLOOKUP(B1103,Orders!A:A,Orders!E:E,"")</x:f>
        <x:v>South</x:v>
      </x:c>
      <x:c r="L1103" t="n">
        <x:f>XLOOKUP(B1103,Orders!A:A,Orders!B:B,"")</x:f>
        <x:v>46062</x:v>
      </x:c>
      <x:c r="M1103" t="str">
        <x:f>XLOOKUP(C1103,Products!A:A,Products!C:C,"")</x:f>
        <x:v>Accessories</x:v>
      </x:c>
    </x:row>
    <x:row r="1104">
      <x:c r="A1104" s="15" t="str">
        <x:v>ITEM00451_2</x:v>
      </x:c>
      <x:c r="B1104" s="15" t="str">
        <x:v>ORD00451</x:v>
      </x:c>
      <x:c r="C1104" s="15" t="str">
        <x:v>PROD036</x:v>
      </x:c>
      <x:c r="D1104" s="15" t="n">
        <x:v>3</x:v>
      </x:c>
      <x:c r="E1104" s="15" t="n">
        <x:v>7158.64</x:v>
      </x:c>
      <x:c r="F1104" s="15" t="n">
        <x:v>0</x:v>
      </x:c>
      <x:c r="G1104" s="15" t="n">
        <x:v>21475.92</x:v>
      </x:c>
      <x:c r="H1104" s="15" t="n">
        <x:v>21475.92</x:v>
      </x:c>
      <x:c r="I1104" s="15" t="n">
        <x:v>15513</x:v>
      </x:c>
      <x:c r="J1104" s="15" t="n">
        <x:v>5962.92</x:v>
      </x:c>
      <x:c r="K1104" t="str">
        <x:f>XLOOKUP(B1104,Orders!A:A,Orders!E:E,"")</x:f>
        <x:v>South</x:v>
      </x:c>
      <x:c r="L1104" t="n">
        <x:f>XLOOKUP(B1104,Orders!A:A,Orders!B:B,"")</x:f>
        <x:v>46062</x:v>
      </x:c>
      <x:c r="M1104" t="str">
        <x:f>XLOOKUP(C1104,Products!A:A,Products!C:C,"")</x:f>
        <x:v>Accessories</x:v>
      </x:c>
    </x:row>
    <x:row r="1105">
      <x:c r="A1105" s="15" t="str">
        <x:v>ITEM00451_3</x:v>
      </x:c>
      <x:c r="B1105" s="15" t="str">
        <x:v>ORD00451</x:v>
      </x:c>
      <x:c r="C1105" s="15" t="str">
        <x:v>PROD004</x:v>
      </x:c>
      <x:c r="D1105" s="15" t="n">
        <x:v>2</x:v>
      </x:c>
      <x:c r="E1105" s="15" t="n">
        <x:v>5435.39</x:v>
      </x:c>
      <x:c r="F1105" s="15" t="n">
        <x:v>0.1</x:v>
      </x:c>
      <x:c r="G1105" s="15" t="n">
        <x:v>10870.78</x:v>
      </x:c>
      <x:c r="H1105" s="15" t="n">
        <x:v>9783.7</x:v>
      </x:c>
      <x:c r="I1105" s="15" t="n">
        <x:v>8282</x:v>
      </x:c>
      <x:c r="J1105" s="15" t="n">
        <x:v>1501.7</x:v>
      </x:c>
      <x:c r="K1105" t="str">
        <x:f>XLOOKUP(B1105,Orders!A:A,Orders!E:E,"")</x:f>
        <x:v>South</x:v>
      </x:c>
      <x:c r="L1105" t="n">
        <x:f>XLOOKUP(B1105,Orders!A:A,Orders!B:B,"")</x:f>
        <x:v>46062</x:v>
      </x:c>
      <x:c r="M1105" t="str">
        <x:f>XLOOKUP(C1105,Products!A:A,Products!C:C,"")</x:f>
        <x:v>Office Supplies</x:v>
      </x:c>
    </x:row>
    <x:row r="1106">
      <x:c r="A1106" s="15" t="str">
        <x:v>ITEM00452_1</x:v>
      </x:c>
      <x:c r="B1106" s="15" t="str">
        <x:v>ORD00452</x:v>
      </x:c>
      <x:c r="C1106" s="15" t="str">
        <x:v>PROD031</x:v>
      </x:c>
      <x:c r="D1106" s="15" t="n">
        <x:v>3</x:v>
      </x:c>
      <x:c r="E1106" s="15" t="n">
        <x:v>3371.81</x:v>
      </x:c>
      <x:c r="F1106" s="15" t="n">
        <x:v>0.15</x:v>
      </x:c>
      <x:c r="G1106" s="15" t="n">
        <x:v>10115.43</x:v>
      </x:c>
      <x:c r="H1106" s="15" t="n">
        <x:v>8598.12</x:v>
      </x:c>
      <x:c r="I1106" s="15" t="n">
        <x:v>8391</x:v>
      </x:c>
      <x:c r="J1106" s="15" t="n">
        <x:v>207.12</x:v>
      </x:c>
      <x:c r="K1106" t="str">
        <x:f>XLOOKUP(B1106,Orders!A:A,Orders!E:E,"")</x:f>
        <x:v>North</x:v>
      </x:c>
      <x:c r="L1106" t="n">
        <x:f>XLOOKUP(B1106,Orders!A:A,Orders!B:B,"")</x:f>
        <x:v>45751</x:v>
      </x:c>
      <x:c r="M1106" t="str">
        <x:f>XLOOKUP(C1106,Products!A:A,Products!C:C,"")</x:f>
        <x:v>Furniture</x:v>
      </x:c>
    </x:row>
    <x:row r="1107">
      <x:c r="A1107" s="15" t="str">
        <x:v>ITEM00452_2</x:v>
      </x:c>
      <x:c r="B1107" s="15" t="str">
        <x:v>ORD00452</x:v>
      </x:c>
      <x:c r="C1107" s="15" t="str">
        <x:v>PROD012</x:v>
      </x:c>
      <x:c r="D1107" s="15" t="n">
        <x:v>3</x:v>
      </x:c>
      <x:c r="E1107" s="15" t="n">
        <x:v>7989.38</x:v>
      </x:c>
      <x:c r="F1107" s="15" t="n">
        <x:v>0.05</x:v>
      </x:c>
      <x:c r="G1107" s="15" t="n">
        <x:v>23968.14</x:v>
      </x:c>
      <x:c r="H1107" s="15" t="n">
        <x:v>22769.73</x:v>
      </x:c>
      <x:c r="I1107" s="15" t="n">
        <x:v>19455</x:v>
      </x:c>
      <x:c r="J1107" s="15" t="n">
        <x:v>3314.73</x:v>
      </x:c>
      <x:c r="K1107" t="str">
        <x:f>XLOOKUP(B1107,Orders!A:A,Orders!E:E,"")</x:f>
        <x:v>North</x:v>
      </x:c>
      <x:c r="L1107" t="n">
        <x:f>XLOOKUP(B1107,Orders!A:A,Orders!B:B,"")</x:f>
        <x:v>45751</x:v>
      </x:c>
      <x:c r="M1107" t="str">
        <x:f>XLOOKUP(C1107,Products!A:A,Products!C:C,"")</x:f>
        <x:v>Electronics</x:v>
      </x:c>
    </x:row>
    <x:row r="1108">
      <x:c r="A1108" s="15" t="str">
        <x:v>ITEM00452_3</x:v>
      </x:c>
      <x:c r="B1108" s="15" t="str">
        <x:v>ORD00452</x:v>
      </x:c>
      <x:c r="C1108" s="15" t="str">
        <x:v>PROD035</x:v>
      </x:c>
      <x:c r="D1108" s="15" t="n">
        <x:v>6</x:v>
      </x:c>
      <x:c r="E1108" s="15" t="n">
        <x:v>3972.26</x:v>
      </x:c>
      <x:c r="F1108" s="15" t="n">
        <x:v>0</x:v>
      </x:c>
      <x:c r="G1108" s="15" t="n">
        <x:v>23833.56</x:v>
      </x:c>
      <x:c r="H1108" s="15" t="n">
        <x:v>23833.56</x:v>
      </x:c>
      <x:c r="I1108" s="15" t="n">
        <x:v>19122</x:v>
      </x:c>
      <x:c r="J1108" s="15" t="n">
        <x:v>4711.56</x:v>
      </x:c>
      <x:c r="K1108" t="str">
        <x:f>XLOOKUP(B1108,Orders!A:A,Orders!E:E,"")</x:f>
        <x:v>North</x:v>
      </x:c>
      <x:c r="L1108" t="n">
        <x:f>XLOOKUP(B1108,Orders!A:A,Orders!B:B,"")</x:f>
        <x:v>45751</x:v>
      </x:c>
      <x:c r="M1108" t="str">
        <x:f>XLOOKUP(C1108,Products!A:A,Products!C:C,"")</x:f>
        <x:v>Electronics</x:v>
      </x:c>
    </x:row>
    <x:row r="1109">
      <x:c r="A1109" s="15" t="str">
        <x:v>ITEM00452_4</x:v>
      </x:c>
      <x:c r="B1109" s="15" t="str">
        <x:v>ORD00452</x:v>
      </x:c>
      <x:c r="C1109" s="15" t="str">
        <x:v>PROD035</x:v>
      </x:c>
      <x:c r="D1109" s="15" t="n">
        <x:v>5</x:v>
      </x:c>
      <x:c r="E1109" s="15" t="n">
        <x:v>3972.26</x:v>
      </x:c>
      <x:c r="F1109" s="15" t="n">
        <x:v>0.1</x:v>
      </x:c>
      <x:c r="G1109" s="15" t="n">
        <x:v>19861.3</x:v>
      </x:c>
      <x:c r="H1109" s="15" t="n">
        <x:v>17875.17</x:v>
      </x:c>
      <x:c r="I1109" s="15" t="n">
        <x:v>15935</x:v>
      </x:c>
      <x:c r="J1109" s="15" t="n">
        <x:v>1940.17</x:v>
      </x:c>
      <x:c r="K1109" t="str">
        <x:f>XLOOKUP(B1109,Orders!A:A,Orders!E:E,"")</x:f>
        <x:v>North</x:v>
      </x:c>
      <x:c r="L1109" t="n">
        <x:f>XLOOKUP(B1109,Orders!A:A,Orders!B:B,"")</x:f>
        <x:v>45751</x:v>
      </x:c>
      <x:c r="M1109" t="str">
        <x:f>XLOOKUP(C1109,Products!A:A,Products!C:C,"")</x:f>
        <x:v>Electronics</x:v>
      </x:c>
    </x:row>
    <x:row r="1110">
      <x:c r="A1110" s="15" t="str">
        <x:v>ITEM00453_1</x:v>
      </x:c>
      <x:c r="B1110" s="15" t="str">
        <x:v>ORD00453</x:v>
      </x:c>
      <x:c r="C1110" s="15" t="str">
        <x:v>PROD028</x:v>
      </x:c>
      <x:c r="D1110" s="15" t="n">
        <x:v>1</x:v>
      </x:c>
      <x:c r="E1110" s="15" t="n">
        <x:v>4640.74</x:v>
      </x:c>
      <x:c r="F1110" s="15" t="n">
        <x:v>0</x:v>
      </x:c>
      <x:c r="G1110" s="15" t="n">
        <x:v>4640.74</x:v>
      </x:c>
      <x:c r="H1110" s="15" t="n">
        <x:v>4640.74</x:v>
      </x:c>
      <x:c r="I1110" s="15" t="n">
        <x:v>3534</x:v>
      </x:c>
      <x:c r="J1110" s="15" t="n">
        <x:v>1106.74</x:v>
      </x:c>
      <x:c r="K1110" t="str">
        <x:f>XLOOKUP(B1110,Orders!A:A,Orders!E:E,"")</x:f>
        <x:v>North</x:v>
      </x:c>
      <x:c r="L1110" t="n">
        <x:f>XLOOKUP(B1110,Orders!A:A,Orders!B:B,"")</x:f>
        <x:v>46100</x:v>
      </x:c>
      <x:c r="M1110" t="str">
        <x:f>XLOOKUP(C1110,Products!A:A,Products!C:C,"")</x:f>
        <x:v>Office Supplies</x:v>
      </x:c>
    </x:row>
    <x:row r="1111">
      <x:c r="A1111" s="15" t="str">
        <x:v>ITEM00453_2</x:v>
      </x:c>
      <x:c r="B1111" s="15" t="str">
        <x:v>ORD00453</x:v>
      </x:c>
      <x:c r="C1111" s="15" t="str">
        <x:v>PROD018</x:v>
      </x:c>
      <x:c r="D1111" s="15" t="n">
        <x:v>4</x:v>
      </x:c>
      <x:c r="E1111" s="15" t="n">
        <x:v>5637.8</x:v>
      </x:c>
      <x:c r="F1111" s="15" t="n">
        <x:v>0.05</x:v>
      </x:c>
      <x:c r="G1111" s="15" t="n">
        <x:v>22551.2</x:v>
      </x:c>
      <x:c r="H1111" s="15" t="n">
        <x:v>21423.64</x:v>
      </x:c>
      <x:c r="I1111" s="15" t="n">
        <x:v>16844</x:v>
      </x:c>
      <x:c r="J1111" s="15" t="n">
        <x:v>4579.64</x:v>
      </x:c>
      <x:c r="K1111" t="str">
        <x:f>XLOOKUP(B1111,Orders!A:A,Orders!E:E,"")</x:f>
        <x:v>North</x:v>
      </x:c>
      <x:c r="L1111" t="n">
        <x:f>XLOOKUP(B1111,Orders!A:A,Orders!B:B,"")</x:f>
        <x:v>46100</x:v>
      </x:c>
      <x:c r="M1111" t="str">
        <x:f>XLOOKUP(C1111,Products!A:A,Products!C:C,"")</x:f>
        <x:v>Electronics</x:v>
      </x:c>
    </x:row>
    <x:row r="1112">
      <x:c r="A1112" s="15" t="str">
        <x:v>ITEM00453_3</x:v>
      </x:c>
      <x:c r="B1112" s="15" t="str">
        <x:v>ORD00453</x:v>
      </x:c>
      <x:c r="C1112" s="15" t="str">
        <x:v>PROD023</x:v>
      </x:c>
      <x:c r="D1112" s="15" t="n">
        <x:v>7</x:v>
      </x:c>
      <x:c r="E1112" s="15" t="n">
        <x:v>5153.56</x:v>
      </x:c>
      <x:c r="F1112" s="15" t="n">
        <x:v>0.1</x:v>
      </x:c>
      <x:c r="G1112" s="15" t="n">
        <x:v>36074.92</x:v>
      </x:c>
      <x:c r="H1112" s="15" t="n">
        <x:v>32467.43</x:v>
      </x:c>
      <x:c r="I1112" s="15" t="n">
        <x:v>27706</x:v>
      </x:c>
      <x:c r="J1112" s="15" t="n">
        <x:v>4761.43</x:v>
      </x:c>
      <x:c r="K1112" t="str">
        <x:f>XLOOKUP(B1112,Orders!A:A,Orders!E:E,"")</x:f>
        <x:v>North</x:v>
      </x:c>
      <x:c r="L1112" t="n">
        <x:f>XLOOKUP(B1112,Orders!A:A,Orders!B:B,"")</x:f>
        <x:v>46100</x:v>
      </x:c>
      <x:c r="M1112" t="str">
        <x:f>XLOOKUP(C1112,Products!A:A,Products!C:C,"")</x:f>
        <x:v>Electronics</x:v>
      </x:c>
    </x:row>
    <x:row r="1113">
      <x:c r="A1113" s="15" t="str">
        <x:v>ITEM00453_4</x:v>
      </x:c>
      <x:c r="B1113" s="15" t="str">
        <x:v>ORD00453</x:v>
      </x:c>
      <x:c r="C1113" s="15" t="str">
        <x:v>PROD011</x:v>
      </x:c>
      <x:c r="D1113" s="15" t="n">
        <x:v>6</x:v>
      </x:c>
      <x:c r="E1113" s="15" t="n">
        <x:v>7135.27</x:v>
      </x:c>
      <x:c r="F1113" s="15" t="n">
        <x:v>0.15</x:v>
      </x:c>
      <x:c r="G1113" s="15" t="n">
        <x:v>42811.62</x:v>
      </x:c>
      <x:c r="H1113" s="15" t="n">
        <x:v>36389.88</x:v>
      </x:c>
      <x:c r="I1113" s="15" t="n">
        <x:v>31218</x:v>
      </x:c>
      <x:c r="J1113" s="15" t="n">
        <x:v>5171.88</x:v>
      </x:c>
      <x:c r="K1113" t="str">
        <x:f>XLOOKUP(B1113,Orders!A:A,Orders!E:E,"")</x:f>
        <x:v>North</x:v>
      </x:c>
      <x:c r="L1113" t="n">
        <x:f>XLOOKUP(B1113,Orders!A:A,Orders!B:B,"")</x:f>
        <x:v>46100</x:v>
      </x:c>
      <x:c r="M1113" t="str">
        <x:f>XLOOKUP(C1113,Products!A:A,Products!C:C,"")</x:f>
        <x:v>Accessories</x:v>
      </x:c>
    </x:row>
    <x:row r="1114">
      <x:c r="A1114" s="15" t="str">
        <x:v>ITEM00454_1</x:v>
      </x:c>
      <x:c r="B1114" s="15" t="str">
        <x:v>ORD00454</x:v>
      </x:c>
      <x:c r="C1114" s="15" t="str">
        <x:v>PROD009</x:v>
      </x:c>
      <x:c r="D1114" s="15" t="n">
        <x:v>7</x:v>
      </x:c>
      <x:c r="E1114" s="15" t="n">
        <x:v>4722.96</x:v>
      </x:c>
      <x:c r="F1114" s="15" t="n">
        <x:v>0.1</x:v>
      </x:c>
      <x:c r="G1114" s="15" t="n">
        <x:v>33060.72</x:v>
      </x:c>
      <x:c r="H1114" s="15" t="n">
        <x:v>29754.65</x:v>
      </x:c>
      <x:c r="I1114" s="15" t="n">
        <x:v>22491</x:v>
      </x:c>
      <x:c r="J1114" s="15" t="n">
        <x:v>7263.65</x:v>
      </x:c>
      <x:c r="K1114" t="str">
        <x:f>XLOOKUP(B1114,Orders!A:A,Orders!E:E,"")</x:f>
        <x:v>West</x:v>
      </x:c>
      <x:c r="L1114" t="n">
        <x:f>XLOOKUP(B1114,Orders!A:A,Orders!B:B,"")</x:f>
        <x:v>45734</x:v>
      </x:c>
      <x:c r="M1114" t="str">
        <x:f>XLOOKUP(C1114,Products!A:A,Products!C:C,"")</x:f>
        <x:v>Accessories</x:v>
      </x:c>
    </x:row>
    <x:row r="1115">
      <x:c r="A1115" s="15" t="str">
        <x:v>ITEM00454_2</x:v>
      </x:c>
      <x:c r="B1115" s="15" t="str">
        <x:v>ORD00454</x:v>
      </x:c>
      <x:c r="C1115" s="15" t="str">
        <x:v>PROD030</x:v>
      </x:c>
      <x:c r="D1115" s="15" t="n">
        <x:v>6</x:v>
      </x:c>
      <x:c r="E1115" s="15" t="n">
        <x:v>5180.7</x:v>
      </x:c>
      <x:c r="F1115" s="15" t="n">
        <x:v>0.15</x:v>
      </x:c>
      <x:c r="G1115" s="15" t="n">
        <x:v>31084.2</x:v>
      </x:c>
      <x:c r="H1115" s="15" t="n">
        <x:v>26421.57</x:v>
      </x:c>
      <x:c r="I1115" s="15" t="n">
        <x:v>23328</x:v>
      </x:c>
      <x:c r="J1115" s="15" t="n">
        <x:v>3093.57</x:v>
      </x:c>
      <x:c r="K1115" t="str">
        <x:f>XLOOKUP(B1115,Orders!A:A,Orders!E:E,"")</x:f>
        <x:v>West</x:v>
      </x:c>
      <x:c r="L1115" t="n">
        <x:f>XLOOKUP(B1115,Orders!A:A,Orders!B:B,"")</x:f>
        <x:v>45734</x:v>
      </x:c>
      <x:c r="M1115" t="str">
        <x:f>XLOOKUP(C1115,Products!A:A,Products!C:C,"")</x:f>
        <x:v>Office Supplies</x:v>
      </x:c>
    </x:row>
    <x:row r="1116">
      <x:c r="A1116" s="15" t="str">
        <x:v>ITEM00454_3</x:v>
      </x:c>
      <x:c r="B1116" s="15" t="str">
        <x:v>ORD00454</x:v>
      </x:c>
      <x:c r="C1116" s="15" t="str">
        <x:v>PROD003</x:v>
      </x:c>
      <x:c r="D1116" s="15" t="n">
        <x:v>1</x:v>
      </x:c>
      <x:c r="E1116" s="15" t="n">
        <x:v>10757.89</x:v>
      </x:c>
      <x:c r="F1116" s="15" t="n">
        <x:v>0.1</x:v>
      </x:c>
      <x:c r="G1116" s="15" t="n">
        <x:v>10757.89</x:v>
      </x:c>
      <x:c r="H1116" s="15" t="n">
        <x:v>9682.1</x:v>
      </x:c>
      <x:c r="I1116" s="15" t="n">
        <x:v>7421</x:v>
      </x:c>
      <x:c r="J1116" s="15" t="n">
        <x:v>2261.1</x:v>
      </x:c>
      <x:c r="K1116" t="str">
        <x:f>XLOOKUP(B1116,Orders!A:A,Orders!E:E,"")</x:f>
        <x:v>West</x:v>
      </x:c>
      <x:c r="L1116" t="n">
        <x:f>XLOOKUP(B1116,Orders!A:A,Orders!B:B,"")</x:f>
        <x:v>45734</x:v>
      </x:c>
      <x:c r="M1116" t="str">
        <x:f>XLOOKUP(C1116,Products!A:A,Products!C:C,"")</x:f>
        <x:v>Accessories</x:v>
      </x:c>
    </x:row>
    <x:row r="1117">
      <x:c r="A1117" s="15" t="str">
        <x:v>ITEM00454_4</x:v>
      </x:c>
      <x:c r="B1117" s="15" t="str">
        <x:v>ORD00454</x:v>
      </x:c>
      <x:c r="C1117" s="15" t="str">
        <x:v>PROD030</x:v>
      </x:c>
      <x:c r="D1117" s="15" t="n">
        <x:v>7</x:v>
      </x:c>
      <x:c r="E1117" s="15" t="n">
        <x:v>5180.7</x:v>
      </x:c>
      <x:c r="F1117" s="15" t="n">
        <x:v>0.1</x:v>
      </x:c>
      <x:c r="G1117" s="15" t="n">
        <x:v>36264.9</x:v>
      </x:c>
      <x:c r="H1117" s="15" t="n">
        <x:v>32638.41</x:v>
      </x:c>
      <x:c r="I1117" s="15" t="n">
        <x:v>27216</x:v>
      </x:c>
      <x:c r="J1117" s="15" t="n">
        <x:v>5422.41</x:v>
      </x:c>
      <x:c r="K1117" t="str">
        <x:f>XLOOKUP(B1117,Orders!A:A,Orders!E:E,"")</x:f>
        <x:v>West</x:v>
      </x:c>
      <x:c r="L1117" t="n">
        <x:f>XLOOKUP(B1117,Orders!A:A,Orders!B:B,"")</x:f>
        <x:v>45734</x:v>
      </x:c>
      <x:c r="M1117" t="str">
        <x:f>XLOOKUP(C1117,Products!A:A,Products!C:C,"")</x:f>
        <x:v>Office Supplies</x:v>
      </x:c>
    </x:row>
    <x:row r="1118">
      <x:c r="A1118" s="15" t="str">
        <x:v>ITEM00455_1</x:v>
      </x:c>
      <x:c r="B1118" s="15" t="str">
        <x:v>ORD00455</x:v>
      </x:c>
      <x:c r="C1118" s="15" t="str">
        <x:v>PROD039</x:v>
      </x:c>
      <x:c r="D1118" s="15" t="n">
        <x:v>4</x:v>
      </x:c>
      <x:c r="E1118" s="15" t="n">
        <x:v>5945.62</x:v>
      </x:c>
      <x:c r="F1118" s="15" t="n">
        <x:v>0</x:v>
      </x:c>
      <x:c r="G1118" s="15" t="n">
        <x:v>23782.48</x:v>
      </x:c>
      <x:c r="H1118" s="15" t="n">
        <x:v>23782.48</x:v>
      </x:c>
      <x:c r="I1118" s="15" t="n">
        <x:v>18292</x:v>
      </x:c>
      <x:c r="J1118" s="15" t="n">
        <x:v>5490.48</x:v>
      </x:c>
      <x:c r="K1118" t="str">
        <x:f>XLOOKUP(B1118,Orders!A:A,Orders!E:E,"")</x:f>
        <x:v>South</x:v>
      </x:c>
      <x:c r="L1118" t="n">
        <x:f>XLOOKUP(B1118,Orders!A:A,Orders!B:B,"")</x:f>
        <x:v>46007</x:v>
      </x:c>
      <x:c r="M1118" t="str">
        <x:f>XLOOKUP(C1118,Products!A:A,Products!C:C,"")</x:f>
        <x:v>Office Supplies</x:v>
      </x:c>
    </x:row>
    <x:row r="1119">
      <x:c r="A1119" s="15" t="str">
        <x:v>ITEM00455_2</x:v>
      </x:c>
      <x:c r="B1119" s="15" t="str">
        <x:v>ORD00455</x:v>
      </x:c>
      <x:c r="C1119" s="15" t="str">
        <x:v>PROD004</x:v>
      </x:c>
      <x:c r="D1119" s="15" t="n">
        <x:v>7</x:v>
      </x:c>
      <x:c r="E1119" s="15" t="n">
        <x:v>5435.39</x:v>
      </x:c>
      <x:c r="F1119" s="15" t="n">
        <x:v>0.15</x:v>
      </x:c>
      <x:c r="G1119" s="15" t="n">
        <x:v>38047.73</x:v>
      </x:c>
      <x:c r="H1119" s="15" t="n">
        <x:v>32340.57</x:v>
      </x:c>
      <x:c r="I1119" s="15" t="n">
        <x:v>28987</x:v>
      </x:c>
      <x:c r="J1119" s="15" t="n">
        <x:v>3353.57</x:v>
      </x:c>
      <x:c r="K1119" t="str">
        <x:f>XLOOKUP(B1119,Orders!A:A,Orders!E:E,"")</x:f>
        <x:v>South</x:v>
      </x:c>
      <x:c r="L1119" t="n">
        <x:f>XLOOKUP(B1119,Orders!A:A,Orders!B:B,"")</x:f>
        <x:v>46007</x:v>
      </x:c>
      <x:c r="M1119" t="str">
        <x:f>XLOOKUP(C1119,Products!A:A,Products!C:C,"")</x:f>
        <x:v>Office Supplies</x:v>
      </x:c>
    </x:row>
    <x:row r="1120">
      <x:c r="A1120" s="15" t="str">
        <x:v>ITEM00455_3</x:v>
      </x:c>
      <x:c r="B1120" s="15" t="str">
        <x:v>ORD00455</x:v>
      </x:c>
      <x:c r="C1120" s="15" t="str">
        <x:v>PROD010</x:v>
      </x:c>
      <x:c r="D1120" s="15" t="n">
        <x:v>6</x:v>
      </x:c>
      <x:c r="E1120" s="15" t="n">
        <x:v>8670.63</x:v>
      </x:c>
      <x:c r="F1120" s="15" t="n">
        <x:v>0.15</x:v>
      </x:c>
      <x:c r="G1120" s="15" t="n">
        <x:v>52023.78</x:v>
      </x:c>
      <x:c r="H1120" s="15" t="n">
        <x:v>44220.21</x:v>
      </x:c>
      <x:c r="I1120" s="15" t="n">
        <x:v>35118</x:v>
      </x:c>
      <x:c r="J1120" s="15" t="n">
        <x:v>9102.21</x:v>
      </x:c>
      <x:c r="K1120" t="str">
        <x:f>XLOOKUP(B1120,Orders!A:A,Orders!E:E,"")</x:f>
        <x:v>South</x:v>
      </x:c>
      <x:c r="L1120" t="n">
        <x:f>XLOOKUP(B1120,Orders!A:A,Orders!B:B,"")</x:f>
        <x:v>46007</x:v>
      </x:c>
      <x:c r="M1120" t="str">
        <x:f>XLOOKUP(C1120,Products!A:A,Products!C:C,"")</x:f>
        <x:v>Accessories</x:v>
      </x:c>
    </x:row>
    <x:row r="1121">
      <x:c r="A1121" s="15" t="str">
        <x:v>ITEM00455_4</x:v>
      </x:c>
      <x:c r="B1121" s="15" t="str">
        <x:v>ORD00455</x:v>
      </x:c>
      <x:c r="C1121" s="15" t="str">
        <x:v>PROD030</x:v>
      </x:c>
      <x:c r="D1121" s="15" t="n">
        <x:v>5</x:v>
      </x:c>
      <x:c r="E1121" s="15" t="n">
        <x:v>5180.7</x:v>
      </x:c>
      <x:c r="F1121" s="15" t="n">
        <x:v>0.1</x:v>
      </x:c>
      <x:c r="G1121" s="15" t="n">
        <x:v>25903.5</x:v>
      </x:c>
      <x:c r="H1121" s="15" t="n">
        <x:v>23313.15</x:v>
      </x:c>
      <x:c r="I1121" s="15" t="n">
        <x:v>19440</x:v>
      </x:c>
      <x:c r="J1121" s="15" t="n">
        <x:v>3873.15</x:v>
      </x:c>
      <x:c r="K1121" t="str">
        <x:f>XLOOKUP(B1121,Orders!A:A,Orders!E:E,"")</x:f>
        <x:v>South</x:v>
      </x:c>
      <x:c r="L1121" t="n">
        <x:f>XLOOKUP(B1121,Orders!A:A,Orders!B:B,"")</x:f>
        <x:v>46007</x:v>
      </x:c>
      <x:c r="M1121" t="str">
        <x:f>XLOOKUP(C1121,Products!A:A,Products!C:C,"")</x:f>
        <x:v>Office Supplies</x:v>
      </x:c>
    </x:row>
    <x:row r="1122">
      <x:c r="A1122" s="15" t="str">
        <x:v>ITEM00456_1</x:v>
      </x:c>
      <x:c r="B1122" s="15" t="str">
        <x:v>ORD00456</x:v>
      </x:c>
      <x:c r="C1122" s="15" t="str">
        <x:v>PROD013</x:v>
      </x:c>
      <x:c r="D1122" s="15" t="n">
        <x:v>3</x:v>
      </x:c>
      <x:c r="E1122" s="15" t="n">
        <x:v>7614.02</x:v>
      </x:c>
      <x:c r="F1122" s="15" t="n">
        <x:v>0</x:v>
      </x:c>
      <x:c r="G1122" s="15" t="n">
        <x:v>22842.06</x:v>
      </x:c>
      <x:c r="H1122" s="15" t="n">
        <x:v>22842.06</x:v>
      </x:c>
      <x:c r="I1122" s="15" t="n">
        <x:v>18231</x:v>
      </x:c>
      <x:c r="J1122" s="15" t="n">
        <x:v>4611.06</x:v>
      </x:c>
      <x:c r="K1122" t="str">
        <x:f>XLOOKUP(B1122,Orders!A:A,Orders!E:E,"")</x:f>
        <x:v>South</x:v>
      </x:c>
      <x:c r="L1122" t="n">
        <x:f>XLOOKUP(B1122,Orders!A:A,Orders!B:B,"")</x:f>
        <x:v>46060</x:v>
      </x:c>
      <x:c r="M1122" t="str">
        <x:f>XLOOKUP(C1122,Products!A:A,Products!C:C,"")</x:f>
        <x:v>Furniture</x:v>
      </x:c>
    </x:row>
    <x:row r="1123">
      <x:c r="A1123" s="15" t="str">
        <x:v>ITEM00456_2</x:v>
      </x:c>
      <x:c r="B1123" s="15" t="str">
        <x:v>ORD00456</x:v>
      </x:c>
      <x:c r="C1123" s="15" t="str">
        <x:v>PROD018</x:v>
      </x:c>
      <x:c r="D1123" s="15" t="n">
        <x:v>1</x:v>
      </x:c>
      <x:c r="E1123" s="15" t="n">
        <x:v>5637.8</x:v>
      </x:c>
      <x:c r="F1123" s="15" t="n">
        <x:v>0</x:v>
      </x:c>
      <x:c r="G1123" s="15" t="n">
        <x:v>5637.8</x:v>
      </x:c>
      <x:c r="H1123" s="15" t="n">
        <x:v>5637.8</x:v>
      </x:c>
      <x:c r="I1123" s="15" t="n">
        <x:v>4211</x:v>
      </x:c>
      <x:c r="J1123" s="15" t="n">
        <x:v>1426.8</x:v>
      </x:c>
      <x:c r="K1123" t="str">
        <x:f>XLOOKUP(B1123,Orders!A:A,Orders!E:E,"")</x:f>
        <x:v>South</x:v>
      </x:c>
      <x:c r="L1123" t="n">
        <x:f>XLOOKUP(B1123,Orders!A:A,Orders!B:B,"")</x:f>
        <x:v>46060</x:v>
      </x:c>
      <x:c r="M1123" t="str">
        <x:f>XLOOKUP(C1123,Products!A:A,Products!C:C,"")</x:f>
        <x:v>Electronics</x:v>
      </x:c>
    </x:row>
    <x:row r="1124">
      <x:c r="A1124" s="15" t="str">
        <x:v>ITEM00456_3</x:v>
      </x:c>
      <x:c r="B1124" s="15" t="str">
        <x:v>ORD00456</x:v>
      </x:c>
      <x:c r="C1124" s="15" t="str">
        <x:v>PROD030</x:v>
      </x:c>
      <x:c r="D1124" s="15" t="n">
        <x:v>4</x:v>
      </x:c>
      <x:c r="E1124" s="15" t="n">
        <x:v>5180.7</x:v>
      </x:c>
      <x:c r="F1124" s="15" t="n">
        <x:v>0</x:v>
      </x:c>
      <x:c r="G1124" s="15" t="n">
        <x:v>20722.8</x:v>
      </x:c>
      <x:c r="H1124" s="15" t="n">
        <x:v>20722.8</x:v>
      </x:c>
      <x:c r="I1124" s="15" t="n">
        <x:v>15552</x:v>
      </x:c>
      <x:c r="J1124" s="15" t="n">
        <x:v>5170.8</x:v>
      </x:c>
      <x:c r="K1124" t="str">
        <x:f>XLOOKUP(B1124,Orders!A:A,Orders!E:E,"")</x:f>
        <x:v>South</x:v>
      </x:c>
      <x:c r="L1124" t="n">
        <x:f>XLOOKUP(B1124,Orders!A:A,Orders!B:B,"")</x:f>
        <x:v>46060</x:v>
      </x:c>
      <x:c r="M1124" t="str">
        <x:f>XLOOKUP(C1124,Products!A:A,Products!C:C,"")</x:f>
        <x:v>Office Supplies</x:v>
      </x:c>
    </x:row>
    <x:row r="1125">
      <x:c r="A1125" s="15" t="str">
        <x:v>ITEM00457_1</x:v>
      </x:c>
      <x:c r="B1125" s="15" t="str">
        <x:v>ORD00457</x:v>
      </x:c>
      <x:c r="C1125" s="15" t="str">
        <x:v>PROD009</x:v>
      </x:c>
      <x:c r="D1125" s="15" t="n">
        <x:v>2</x:v>
      </x:c>
      <x:c r="E1125" s="15" t="n">
        <x:v>4722.96</x:v>
      </x:c>
      <x:c r="F1125" s="15" t="n">
        <x:v>0.15</x:v>
      </x:c>
      <x:c r="G1125" s="15" t="n">
        <x:v>9445.92</x:v>
      </x:c>
      <x:c r="H1125" s="15" t="n">
        <x:v>8029.03</x:v>
      </x:c>
      <x:c r="I1125" s="15" t="n">
        <x:v>6426</x:v>
      </x:c>
      <x:c r="J1125" s="15" t="n">
        <x:v>1603.03</x:v>
      </x:c>
      <x:c r="K1125" t="str">
        <x:f>XLOOKUP(B1125,Orders!A:A,Orders!E:E,"")</x:f>
        <x:v>North</x:v>
      </x:c>
      <x:c r="L1125" t="n">
        <x:f>XLOOKUP(B1125,Orders!A:A,Orders!B:B,"")</x:f>
        <x:v>46176</x:v>
      </x:c>
      <x:c r="M1125" t="str">
        <x:f>XLOOKUP(C1125,Products!A:A,Products!C:C,"")</x:f>
        <x:v>Accessories</x:v>
      </x:c>
    </x:row>
    <x:row r="1126">
      <x:c r="A1126" s="15" t="str">
        <x:v>ITEM00457_2</x:v>
      </x:c>
      <x:c r="B1126" s="15" t="str">
        <x:v>ORD00457</x:v>
      </x:c>
      <x:c r="C1126" s="15" t="str">
        <x:v>PROD017</x:v>
      </x:c>
      <x:c r="D1126" s="15" t="n">
        <x:v>7</x:v>
      </x:c>
      <x:c r="E1126" s="15" t="n">
        <x:v>7311.62</x:v>
      </x:c>
      <x:c r="F1126" s="15" t="n">
        <x:v>0</x:v>
      </x:c>
      <x:c r="G1126" s="15" t="n">
        <x:v>51181.34</x:v>
      </x:c>
      <x:c r="H1126" s="15" t="n">
        <x:v>51181.34</x:v>
      </x:c>
      <x:c r="I1126" s="15" t="n">
        <x:v>36806</x:v>
      </x:c>
      <x:c r="J1126" s="15" t="n">
        <x:v>14375.34</x:v>
      </x:c>
      <x:c r="K1126" t="str">
        <x:f>XLOOKUP(B1126,Orders!A:A,Orders!E:E,"")</x:f>
        <x:v>North</x:v>
      </x:c>
      <x:c r="L1126" t="n">
        <x:f>XLOOKUP(B1126,Orders!A:A,Orders!B:B,"")</x:f>
        <x:v>46176</x:v>
      </x:c>
      <x:c r="M1126" t="str">
        <x:f>XLOOKUP(C1126,Products!A:A,Products!C:C,"")</x:f>
        <x:v>Accessories</x:v>
      </x:c>
    </x:row>
    <x:row r="1127">
      <x:c r="A1127" s="15" t="str">
        <x:v>ITEM00457_3</x:v>
      </x:c>
      <x:c r="B1127" s="15" t="str">
        <x:v>ORD00457</x:v>
      </x:c>
      <x:c r="C1127" s="15" t="str">
        <x:v>PROD022</x:v>
      </x:c>
      <x:c r="D1127" s="15" t="n">
        <x:v>7</x:v>
      </x:c>
      <x:c r="E1127" s="15" t="n">
        <x:v>7775.36</x:v>
      </x:c>
      <x:c r="F1127" s="15" t="n">
        <x:v>0</x:v>
      </x:c>
      <x:c r="G1127" s="15" t="n">
        <x:v>54427.52</x:v>
      </x:c>
      <x:c r="H1127" s="15" t="n">
        <x:v>54427.52</x:v>
      </x:c>
      <x:c r="I1127" s="15" t="n">
        <x:v>44317</x:v>
      </x:c>
      <x:c r="J1127" s="15" t="n">
        <x:v>10110.52</x:v>
      </x:c>
      <x:c r="K1127" t="str">
        <x:f>XLOOKUP(B1127,Orders!A:A,Orders!E:E,"")</x:f>
        <x:v>North</x:v>
      </x:c>
      <x:c r="L1127" t="n">
        <x:f>XLOOKUP(B1127,Orders!A:A,Orders!B:B,"")</x:f>
        <x:v>46176</x:v>
      </x:c>
      <x:c r="M1127" t="str">
        <x:f>XLOOKUP(C1127,Products!A:A,Products!C:C,"")</x:f>
        <x:v>Furniture</x:v>
      </x:c>
    </x:row>
    <x:row r="1128">
      <x:c r="A1128" s="15" t="str">
        <x:v>ITEM00457_4</x:v>
      </x:c>
      <x:c r="B1128" s="15" t="str">
        <x:v>ORD00457</x:v>
      </x:c>
      <x:c r="C1128" s="15" t="str">
        <x:v>PROD014</x:v>
      </x:c>
      <x:c r="D1128" s="15" t="n">
        <x:v>7</x:v>
      </x:c>
      <x:c r="E1128" s="15" t="n">
        <x:v>1611.65</x:v>
      </x:c>
      <x:c r="F1128" s="15" t="n">
        <x:v>0.1</x:v>
      </x:c>
      <x:c r="G1128" s="15" t="n">
        <x:v>11281.55</x:v>
      </x:c>
      <x:c r="H1128" s="15" t="n">
        <x:v>10153.4</x:v>
      </x:c>
      <x:c r="I1128" s="15" t="n">
        <x:v>8631</x:v>
      </x:c>
      <x:c r="J1128" s="15" t="n">
        <x:v>1522.4</x:v>
      </x:c>
      <x:c r="K1128" t="str">
        <x:f>XLOOKUP(B1128,Orders!A:A,Orders!E:E,"")</x:f>
        <x:v>North</x:v>
      </x:c>
      <x:c r="L1128" t="n">
        <x:f>XLOOKUP(B1128,Orders!A:A,Orders!B:B,"")</x:f>
        <x:v>46176</x:v>
      </x:c>
      <x:c r="M1128" t="str">
        <x:f>XLOOKUP(C1128,Products!A:A,Products!C:C,"")</x:f>
        <x:v>Office Supplies</x:v>
      </x:c>
    </x:row>
    <x:row r="1129">
      <x:c r="A1129" s="15" t="str">
        <x:v>ITEM00458_1</x:v>
      </x:c>
      <x:c r="B1129" s="15" t="str">
        <x:v>ORD00458</x:v>
      </x:c>
      <x:c r="C1129" s="15" t="str">
        <x:v>PROD022</x:v>
      </x:c>
      <x:c r="D1129" s="15" t="n">
        <x:v>3</x:v>
      </x:c>
      <x:c r="E1129" s="15" t="n">
        <x:v>7775.36</x:v>
      </x:c>
      <x:c r="F1129" s="15" t="n">
        <x:v>0.05</x:v>
      </x:c>
      <x:c r="G1129" s="15" t="n">
        <x:v>23326.08</x:v>
      </x:c>
      <x:c r="H1129" s="15" t="n">
        <x:v>22159.78</x:v>
      </x:c>
      <x:c r="I1129" s="15" t="n">
        <x:v>18993</x:v>
      </x:c>
      <x:c r="J1129" s="15" t="n">
        <x:v>3166.78</x:v>
      </x:c>
      <x:c r="K1129" t="str">
        <x:f>XLOOKUP(B1129,Orders!A:A,Orders!E:E,"")</x:f>
        <x:v>South</x:v>
      </x:c>
      <x:c r="L1129" t="n">
        <x:f>XLOOKUP(B1129,Orders!A:A,Orders!B:B,"")</x:f>
        <x:v>45723</x:v>
      </x:c>
      <x:c r="M1129" t="str">
        <x:f>XLOOKUP(C1129,Products!A:A,Products!C:C,"")</x:f>
        <x:v>Furniture</x:v>
      </x:c>
    </x:row>
    <x:row r="1130">
      <x:c r="A1130" s="15" t="str">
        <x:v>ITEM00458_2</x:v>
      </x:c>
      <x:c r="B1130" s="15" t="str">
        <x:v>ORD00458</x:v>
      </x:c>
      <x:c r="C1130" s="15" t="str">
        <x:v>PROD008</x:v>
      </x:c>
      <x:c r="D1130" s="15" t="n">
        <x:v>5</x:v>
      </x:c>
      <x:c r="E1130" s="15" t="n">
        <x:v>8534.48</x:v>
      </x:c>
      <x:c r="F1130" s="15" t="n">
        <x:v>0.15</x:v>
      </x:c>
      <x:c r="G1130" s="15" t="n">
        <x:v>42672.4</x:v>
      </x:c>
      <x:c r="H1130" s="15" t="n">
        <x:v>36271.54</x:v>
      </x:c>
      <x:c r="I1130" s="15" t="n">
        <x:v>30985</x:v>
      </x:c>
      <x:c r="J1130" s="15" t="n">
        <x:v>5286.54</x:v>
      </x:c>
      <x:c r="K1130" t="str">
        <x:f>XLOOKUP(B1130,Orders!A:A,Orders!E:E,"")</x:f>
        <x:v>South</x:v>
      </x:c>
      <x:c r="L1130" t="n">
        <x:f>XLOOKUP(B1130,Orders!A:A,Orders!B:B,"")</x:f>
        <x:v>45723</x:v>
      </x:c>
      <x:c r="M1130" t="str">
        <x:f>XLOOKUP(C1130,Products!A:A,Products!C:C,"")</x:f>
        <x:v>Office Supplies</x:v>
      </x:c>
    </x:row>
    <x:row r="1131">
      <x:c r="A1131" s="15" t="str">
        <x:v>ITEM00459_1</x:v>
      </x:c>
      <x:c r="B1131" s="15" t="str">
        <x:v>ORD00459</x:v>
      </x:c>
      <x:c r="C1131" s="15" t="str">
        <x:v>PROD013</x:v>
      </x:c>
      <x:c r="D1131" s="15" t="n">
        <x:v>6</x:v>
      </x:c>
      <x:c r="E1131" s="15" t="n">
        <x:v>7614.02</x:v>
      </x:c>
      <x:c r="F1131" s="15" t="n">
        <x:v>0.1</x:v>
      </x:c>
      <x:c r="G1131" s="15" t="n">
        <x:v>45684.12</x:v>
      </x:c>
      <x:c r="H1131" s="15" t="n">
        <x:v>41115.71</x:v>
      </x:c>
      <x:c r="I1131" s="15" t="n">
        <x:v>36462</x:v>
      </x:c>
      <x:c r="J1131" s="15" t="n">
        <x:v>4653.71</x:v>
      </x:c>
      <x:c r="K1131" t="str">
        <x:f>XLOOKUP(B1131,Orders!A:A,Orders!E:E,"")</x:f>
        <x:v>North</x:v>
      </x:c>
      <x:c r="L1131" t="n">
        <x:f>XLOOKUP(B1131,Orders!A:A,Orders!B:B,"")</x:f>
        <x:v>45869</x:v>
      </x:c>
      <x:c r="M1131" t="str">
        <x:f>XLOOKUP(C1131,Products!A:A,Products!C:C,"")</x:f>
        <x:v>Furniture</x:v>
      </x:c>
    </x:row>
    <x:row r="1132">
      <x:c r="A1132" s="15" t="str">
        <x:v>ITEM00459_2</x:v>
      </x:c>
      <x:c r="B1132" s="15" t="str">
        <x:v>ORD00459</x:v>
      </x:c>
      <x:c r="C1132" s="15" t="str">
        <x:v>PROD003</x:v>
      </x:c>
      <x:c r="D1132" s="15" t="n">
        <x:v>6</x:v>
      </x:c>
      <x:c r="E1132" s="15" t="n">
        <x:v>10757.89</x:v>
      </x:c>
      <x:c r="F1132" s="15" t="n">
        <x:v>0.15</x:v>
      </x:c>
      <x:c r="G1132" s="15" t="n">
        <x:v>64547.34</x:v>
      </x:c>
      <x:c r="H1132" s="15" t="n">
        <x:v>54865.24</x:v>
      </x:c>
      <x:c r="I1132" s="15" t="n">
        <x:v>44526</x:v>
      </x:c>
      <x:c r="J1132" s="15" t="n">
        <x:v>10339.24</x:v>
      </x:c>
      <x:c r="K1132" t="str">
        <x:f>XLOOKUP(B1132,Orders!A:A,Orders!E:E,"")</x:f>
        <x:v>North</x:v>
      </x:c>
      <x:c r="L1132" t="n">
        <x:f>XLOOKUP(B1132,Orders!A:A,Orders!B:B,"")</x:f>
        <x:v>45869</x:v>
      </x:c>
      <x:c r="M1132" t="str">
        <x:f>XLOOKUP(C1132,Products!A:A,Products!C:C,"")</x:f>
        <x:v>Accessories</x:v>
      </x:c>
    </x:row>
    <x:row r="1133">
      <x:c r="A1133" s="15" t="str">
        <x:v>ITEM00460_1</x:v>
      </x:c>
      <x:c r="B1133" s="15" t="str">
        <x:v>ORD00460</x:v>
      </x:c>
      <x:c r="C1133" s="15" t="str">
        <x:v>PROD027</x:v>
      </x:c>
      <x:c r="D1133" s="15" t="n">
        <x:v>5</x:v>
      </x:c>
      <x:c r="E1133" s="15" t="n">
        <x:v>6979.71</x:v>
      </x:c>
      <x:c r="F1133" s="15" t="n">
        <x:v>0</x:v>
      </x:c>
      <x:c r="G1133" s="15" t="n">
        <x:v>34898.55</x:v>
      </x:c>
      <x:c r="H1133" s="15" t="n">
        <x:v>34898.55</x:v>
      </x:c>
      <x:c r="I1133" s="15" t="n">
        <x:v>28185</x:v>
      </x:c>
      <x:c r="J1133" s="15" t="n">
        <x:v>6713.55</x:v>
      </x:c>
      <x:c r="K1133" t="str">
        <x:f>XLOOKUP(B1133,Orders!A:A,Orders!E:E,"")</x:f>
        <x:v>East</x:v>
      </x:c>
      <x:c r="L1133" t="n">
        <x:f>XLOOKUP(B1133,Orders!A:A,Orders!B:B,"")</x:f>
        <x:v>45981</x:v>
      </x:c>
      <x:c r="M1133" t="str">
        <x:f>XLOOKUP(C1133,Products!A:A,Products!C:C,"")</x:f>
        <x:v>Electronics</x:v>
      </x:c>
    </x:row>
    <x:row r="1134">
      <x:c r="A1134" s="15" t="str">
        <x:v>ITEM00460_2</x:v>
      </x:c>
      <x:c r="B1134" s="15" t="str">
        <x:v>ORD00460</x:v>
      </x:c>
      <x:c r="C1134" s="15" t="str">
        <x:v>PROD001</x:v>
      </x:c>
      <x:c r="D1134" s="15" t="n">
        <x:v>4</x:v>
      </x:c>
      <x:c r="E1134" s="15" t="n">
        <x:v>8672.7</x:v>
      </x:c>
      <x:c r="F1134" s="15" t="n">
        <x:v>0.05</x:v>
      </x:c>
      <x:c r="G1134" s="15" t="n">
        <x:v>34690.8</x:v>
      </x:c>
      <x:c r="H1134" s="15" t="n">
        <x:v>32956.26</x:v>
      </x:c>
      <x:c r="I1134" s="15" t="n">
        <x:v>24652</x:v>
      </x:c>
      <x:c r="J1134" s="15" t="n">
        <x:v>8304.26</x:v>
      </x:c>
      <x:c r="K1134" t="str">
        <x:f>XLOOKUP(B1134,Orders!A:A,Orders!E:E,"")</x:f>
        <x:v>East</x:v>
      </x:c>
      <x:c r="L1134" t="n">
        <x:f>XLOOKUP(B1134,Orders!A:A,Orders!B:B,"")</x:f>
        <x:v>45981</x:v>
      </x:c>
      <x:c r="M1134" t="str">
        <x:f>XLOOKUP(C1134,Products!A:A,Products!C:C,"")</x:f>
        <x:v>Office Supplies</x:v>
      </x:c>
    </x:row>
    <x:row r="1135">
      <x:c r="A1135" s="15" t="str">
        <x:v>ITEM00460_3</x:v>
      </x:c>
      <x:c r="B1135" s="15" t="str">
        <x:v>ORD00460</x:v>
      </x:c>
      <x:c r="C1135" s="15" t="str">
        <x:v>PROD024</x:v>
      </x:c>
      <x:c r="D1135" s="15" t="n">
        <x:v>8</x:v>
      </x:c>
      <x:c r="E1135" s="15" t="n">
        <x:v>4018</x:v>
      </x:c>
      <x:c r="F1135" s="15" t="n">
        <x:v>0</x:v>
      </x:c>
      <x:c r="G1135" s="15" t="n">
        <x:v>32144</x:v>
      </x:c>
      <x:c r="H1135" s="15" t="n">
        <x:v>32144</x:v>
      </x:c>
      <x:c r="I1135" s="15" t="n">
        <x:v>25536</x:v>
      </x:c>
      <x:c r="J1135" s="15" t="n">
        <x:v>6608</x:v>
      </x:c>
      <x:c r="K1135" t="str">
        <x:f>XLOOKUP(B1135,Orders!A:A,Orders!E:E,"")</x:f>
        <x:v>East</x:v>
      </x:c>
      <x:c r="L1135" t="n">
        <x:f>XLOOKUP(B1135,Orders!A:A,Orders!B:B,"")</x:f>
        <x:v>45981</x:v>
      </x:c>
      <x:c r="M1135" t="str">
        <x:f>XLOOKUP(C1135,Products!A:A,Products!C:C,"")</x:f>
        <x:v>Furniture</x:v>
      </x:c>
    </x:row>
    <x:row r="1136">
      <x:c r="A1136" s="15" t="str">
        <x:v>ITEM00460_4</x:v>
      </x:c>
      <x:c r="B1136" s="15" t="str">
        <x:v>ORD00460</x:v>
      </x:c>
      <x:c r="C1136" s="15" t="str">
        <x:v>PROD007</x:v>
      </x:c>
      <x:c r="D1136" s="15" t="n">
        <x:v>3</x:v>
      </x:c>
      <x:c r="E1136" s="15" t="n">
        <x:v>5013.07</x:v>
      </x:c>
      <x:c r="F1136" s="15" t="n">
        <x:v>0</x:v>
      </x:c>
      <x:c r="G1136" s="15" t="n">
        <x:v>15039.21</x:v>
      </x:c>
      <x:c r="H1136" s="15" t="n">
        <x:v>15039.21</x:v>
      </x:c>
      <x:c r="I1136" s="15" t="n">
        <x:v>11823</x:v>
      </x:c>
      <x:c r="J1136" s="15" t="n">
        <x:v>3216.21</x:v>
      </x:c>
      <x:c r="K1136" t="str">
        <x:f>XLOOKUP(B1136,Orders!A:A,Orders!E:E,"")</x:f>
        <x:v>East</x:v>
      </x:c>
      <x:c r="L1136" t="n">
        <x:f>XLOOKUP(B1136,Orders!A:A,Orders!B:B,"")</x:f>
        <x:v>45981</x:v>
      </x:c>
      <x:c r="M1136" t="str">
        <x:f>XLOOKUP(C1136,Products!A:A,Products!C:C,"")</x:f>
        <x:v>Electronics</x:v>
      </x:c>
    </x:row>
    <x:row r="1137">
      <x:c r="A1137" s="15" t="str">
        <x:v>ITEM00461_1</x:v>
      </x:c>
      <x:c r="B1137" s="15" t="str">
        <x:v>ORD00461</x:v>
      </x:c>
      <x:c r="C1137" s="15" t="str">
        <x:v>PROD007</x:v>
      </x:c>
      <x:c r="D1137" s="15" t="n">
        <x:v>1</x:v>
      </x:c>
      <x:c r="E1137" s="15" t="n">
        <x:v>5013.07</x:v>
      </x:c>
      <x:c r="F1137" s="15" t="n">
        <x:v>0</x:v>
      </x:c>
      <x:c r="G1137" s="15" t="n">
        <x:v>5013.07</x:v>
      </x:c>
      <x:c r="H1137" s="15" t="n">
        <x:v>5013.07</x:v>
      </x:c>
      <x:c r="I1137" s="15" t="n">
        <x:v>3941</x:v>
      </x:c>
      <x:c r="J1137" s="15" t="n">
        <x:v>1072.07</x:v>
      </x:c>
      <x:c r="K1137" t="str">
        <x:f>XLOOKUP(B1137,Orders!A:A,Orders!E:E,"")</x:f>
        <x:v>West</x:v>
      </x:c>
      <x:c r="L1137" t="n">
        <x:f>XLOOKUP(B1137,Orders!A:A,Orders!B:B,"")</x:f>
        <x:v>45826</x:v>
      </x:c>
      <x:c r="M1137" t="str">
        <x:f>XLOOKUP(C1137,Products!A:A,Products!C:C,"")</x:f>
        <x:v>Electronics</x:v>
      </x:c>
    </x:row>
    <x:row r="1138">
      <x:c r="A1138" s="15" t="str">
        <x:v>ITEM00461_2</x:v>
      </x:c>
      <x:c r="B1138" s="15" t="str">
        <x:v>ORD00461</x:v>
      </x:c>
      <x:c r="C1138" s="15" t="str">
        <x:v>PROD023</x:v>
      </x:c>
      <x:c r="D1138" s="15" t="n">
        <x:v>1</x:v>
      </x:c>
      <x:c r="E1138" s="15" t="n">
        <x:v>5153.56</x:v>
      </x:c>
      <x:c r="F1138" s="15" t="n">
        <x:v>0.1</x:v>
      </x:c>
      <x:c r="G1138" s="15" t="n">
        <x:v>5153.56</x:v>
      </x:c>
      <x:c r="H1138" s="15" t="n">
        <x:v>4638.2</x:v>
      </x:c>
      <x:c r="I1138" s="15" t="n">
        <x:v>3958</x:v>
      </x:c>
      <x:c r="J1138" s="15" t="n">
        <x:v>680.2</x:v>
      </x:c>
      <x:c r="K1138" t="str">
        <x:f>XLOOKUP(B1138,Orders!A:A,Orders!E:E,"")</x:f>
        <x:v>West</x:v>
      </x:c>
      <x:c r="L1138" t="n">
        <x:f>XLOOKUP(B1138,Orders!A:A,Orders!B:B,"")</x:f>
        <x:v>45826</x:v>
      </x:c>
      <x:c r="M1138" t="str">
        <x:f>XLOOKUP(C1138,Products!A:A,Products!C:C,"")</x:f>
        <x:v>Electronics</x:v>
      </x:c>
    </x:row>
    <x:row r="1139">
      <x:c r="A1139" s="15" t="str">
        <x:v>ITEM00461_3</x:v>
      </x:c>
      <x:c r="B1139" s="15" t="str">
        <x:v>ORD00461</x:v>
      </x:c>
      <x:c r="C1139" s="15" t="str">
        <x:v>PROD020</x:v>
      </x:c>
      <x:c r="D1139" s="15" t="n">
        <x:v>1</x:v>
      </x:c>
      <x:c r="E1139" s="15" t="n">
        <x:v>6564.04</x:v>
      </x:c>
      <x:c r="F1139" s="15" t="n">
        <x:v>0.1</x:v>
      </x:c>
      <x:c r="G1139" s="15" t="n">
        <x:v>6564.04</x:v>
      </x:c>
      <x:c r="H1139" s="15" t="n">
        <x:v>5907.64</x:v>
      </x:c>
      <x:c r="I1139" s="15" t="n">
        <x:v>4585</x:v>
      </x:c>
      <x:c r="J1139" s="15" t="n">
        <x:v>1322.64</x:v>
      </x:c>
      <x:c r="K1139" t="str">
        <x:f>XLOOKUP(B1139,Orders!A:A,Orders!E:E,"")</x:f>
        <x:v>West</x:v>
      </x:c>
      <x:c r="L1139" t="n">
        <x:f>XLOOKUP(B1139,Orders!A:A,Orders!B:B,"")</x:f>
        <x:v>45826</x:v>
      </x:c>
      <x:c r="M1139" t="str">
        <x:f>XLOOKUP(C1139,Products!A:A,Products!C:C,"")</x:f>
        <x:v>Accessories</x:v>
      </x:c>
    </x:row>
    <x:row r="1140">
      <x:c r="A1140" s="15" t="str">
        <x:v>ITEM00461_4</x:v>
      </x:c>
      <x:c r="B1140" s="15" t="str">
        <x:v>ORD00461</x:v>
      </x:c>
      <x:c r="C1140" s="15" t="str">
        <x:v>PROD039</x:v>
      </x:c>
      <x:c r="D1140" s="15" t="n">
        <x:v>4</x:v>
      </x:c>
      <x:c r="E1140" s="15" t="n">
        <x:v>5945.62</x:v>
      </x:c>
      <x:c r="F1140" s="15" t="n">
        <x:v>0</x:v>
      </x:c>
      <x:c r="G1140" s="15" t="n">
        <x:v>23782.48</x:v>
      </x:c>
      <x:c r="H1140" s="15" t="n">
        <x:v>23782.48</x:v>
      </x:c>
      <x:c r="I1140" s="15" t="n">
        <x:v>18292</x:v>
      </x:c>
      <x:c r="J1140" s="15" t="n">
        <x:v>5490.48</x:v>
      </x:c>
      <x:c r="K1140" t="str">
        <x:f>XLOOKUP(B1140,Orders!A:A,Orders!E:E,"")</x:f>
        <x:v>West</x:v>
      </x:c>
      <x:c r="L1140" t="n">
        <x:f>XLOOKUP(B1140,Orders!A:A,Orders!B:B,"")</x:f>
        <x:v>45826</x:v>
      </x:c>
      <x:c r="M1140" t="str">
        <x:f>XLOOKUP(C1140,Products!A:A,Products!C:C,"")</x:f>
        <x:v>Office Supplies</x:v>
      </x:c>
    </x:row>
    <x:row r="1141">
      <x:c r="A1141" s="15" t="str">
        <x:v>ITEM00462_1</x:v>
      </x:c>
      <x:c r="B1141" s="15" t="str">
        <x:v>ORD00462</x:v>
      </x:c>
      <x:c r="C1141" s="15" t="str">
        <x:v>PROD031</x:v>
      </x:c>
      <x:c r="D1141" s="15" t="n">
        <x:v>8</x:v>
      </x:c>
      <x:c r="E1141" s="15" t="n">
        <x:v>3371.81</x:v>
      </x:c>
      <x:c r="F1141" s="15" t="n">
        <x:v>0</x:v>
      </x:c>
      <x:c r="G1141" s="15" t="n">
        <x:v>26974.48</x:v>
      </x:c>
      <x:c r="H1141" s="15" t="n">
        <x:v>26974.48</x:v>
      </x:c>
      <x:c r="I1141" s="15" t="n">
        <x:v>22376</x:v>
      </x:c>
      <x:c r="J1141" s="15" t="n">
        <x:v>4598.48</x:v>
      </x:c>
      <x:c r="K1141" t="str">
        <x:f>XLOOKUP(B1141,Orders!A:A,Orders!E:E,"")</x:f>
        <x:v>West</x:v>
      </x:c>
      <x:c r="L1141" t="n">
        <x:f>XLOOKUP(B1141,Orders!A:A,Orders!B:B,"")</x:f>
        <x:v>46182</x:v>
      </x:c>
      <x:c r="M1141" t="str">
        <x:f>XLOOKUP(C1141,Products!A:A,Products!C:C,"")</x:f>
        <x:v>Furniture</x:v>
      </x:c>
    </x:row>
    <x:row r="1142">
      <x:c r="A1142" s="15" t="str">
        <x:v>ITEM00462_2</x:v>
      </x:c>
      <x:c r="B1142" s="15" t="str">
        <x:v>ORD00462</x:v>
      </x:c>
      <x:c r="C1142" s="15" t="str">
        <x:v>PROD016</x:v>
      </x:c>
      <x:c r="D1142" s="15" t="n">
        <x:v>6</x:v>
      </x:c>
      <x:c r="E1142" s="15" t="n">
        <x:v>3884.33</x:v>
      </x:c>
      <x:c r="F1142" s="15" t="n">
        <x:v>0.1</x:v>
      </x:c>
      <x:c r="G1142" s="15" t="n">
        <x:v>23305.98</x:v>
      </x:c>
      <x:c r="H1142" s="15" t="n">
        <x:v>20975.38</x:v>
      </x:c>
      <x:c r="I1142" s="15" t="n">
        <x:v>18282</x:v>
      </x:c>
      <x:c r="J1142" s="15" t="n">
        <x:v>2693.38</x:v>
      </x:c>
      <x:c r="K1142" t="str">
        <x:f>XLOOKUP(B1142,Orders!A:A,Orders!E:E,"")</x:f>
        <x:v>West</x:v>
      </x:c>
      <x:c r="L1142" t="n">
        <x:f>XLOOKUP(B1142,Orders!A:A,Orders!B:B,"")</x:f>
        <x:v>46182</x:v>
      </x:c>
      <x:c r="M1142" t="str">
        <x:f>XLOOKUP(C1142,Products!A:A,Products!C:C,"")</x:f>
        <x:v>Electronics</x:v>
      </x:c>
    </x:row>
    <x:row r="1143">
      <x:c r="A1143" s="15" t="str">
        <x:v>ITEM00463_1</x:v>
      </x:c>
      <x:c r="B1143" s="15" t="str">
        <x:v>ORD00463</x:v>
      </x:c>
      <x:c r="C1143" s="15" t="str">
        <x:v>PROD019</x:v>
      </x:c>
      <x:c r="D1143" s="15" t="n">
        <x:v>8</x:v>
      </x:c>
      <x:c r="E1143" s="15" t="n">
        <x:v>5996.29</x:v>
      </x:c>
      <x:c r="F1143" s="15" t="n">
        <x:v>0.15</x:v>
      </x:c>
      <x:c r="G1143" s="15" t="n">
        <x:v>47970.32</x:v>
      </x:c>
      <x:c r="H1143" s="15" t="n">
        <x:v>40774.77</x:v>
      </x:c>
      <x:c r="I1143" s="15" t="n">
        <x:v>36080</x:v>
      </x:c>
      <x:c r="J1143" s="15" t="n">
        <x:v>4694.77</x:v>
      </x:c>
      <x:c r="K1143" t="str">
        <x:f>XLOOKUP(B1143,Orders!A:A,Orders!E:E,"")</x:f>
        <x:v>North</x:v>
      </x:c>
      <x:c r="L1143" t="n">
        <x:f>XLOOKUP(B1143,Orders!A:A,Orders!B:B,"")</x:f>
        <x:v>45839</x:v>
      </x:c>
      <x:c r="M1143" t="str">
        <x:f>XLOOKUP(C1143,Products!A:A,Products!C:C,"")</x:f>
        <x:v>Electronics</x:v>
      </x:c>
    </x:row>
    <x:row r="1144">
      <x:c r="A1144" s="15" t="str">
        <x:v>ITEM00463_2</x:v>
      </x:c>
      <x:c r="B1144" s="15" t="str">
        <x:v>ORD00463</x:v>
      </x:c>
      <x:c r="C1144" s="15" t="str">
        <x:v>PROD030</x:v>
      </x:c>
      <x:c r="D1144" s="15" t="n">
        <x:v>2</x:v>
      </x:c>
      <x:c r="E1144" s="15" t="n">
        <x:v>5180.7</x:v>
      </x:c>
      <x:c r="F1144" s="15" t="n">
        <x:v>0</x:v>
      </x:c>
      <x:c r="G1144" s="15" t="n">
        <x:v>10361.4</x:v>
      </x:c>
      <x:c r="H1144" s="15" t="n">
        <x:v>10361.4</x:v>
      </x:c>
      <x:c r="I1144" s="15" t="n">
        <x:v>7776</x:v>
      </x:c>
      <x:c r="J1144" s="15" t="n">
        <x:v>2585.4</x:v>
      </x:c>
      <x:c r="K1144" t="str">
        <x:f>XLOOKUP(B1144,Orders!A:A,Orders!E:E,"")</x:f>
        <x:v>North</x:v>
      </x:c>
      <x:c r="L1144" t="n">
        <x:f>XLOOKUP(B1144,Orders!A:A,Orders!B:B,"")</x:f>
        <x:v>45839</x:v>
      </x:c>
      <x:c r="M1144" t="str">
        <x:f>XLOOKUP(C1144,Products!A:A,Products!C:C,"")</x:f>
        <x:v>Office Supplies</x:v>
      </x:c>
    </x:row>
    <x:row r="1145">
      <x:c r="A1145" s="15" t="str">
        <x:v>ITEM00464_1</x:v>
      </x:c>
      <x:c r="B1145" s="15" t="str">
        <x:v>ORD00464</x:v>
      </x:c>
      <x:c r="C1145" s="15" t="str">
        <x:v>PROD013</x:v>
      </x:c>
      <x:c r="D1145" s="15" t="n">
        <x:v>2</x:v>
      </x:c>
      <x:c r="E1145" s="15" t="n">
        <x:v>7614.02</x:v>
      </x:c>
      <x:c r="F1145" s="15" t="n">
        <x:v>0</x:v>
      </x:c>
      <x:c r="G1145" s="15" t="n">
        <x:v>15228.04</x:v>
      </x:c>
      <x:c r="H1145" s="15" t="n">
        <x:v>15228.04</x:v>
      </x:c>
      <x:c r="I1145" s="15" t="n">
        <x:v>12154</x:v>
      </x:c>
      <x:c r="J1145" s="15" t="n">
        <x:v>3074.04</x:v>
      </x:c>
      <x:c r="K1145" t="str">
        <x:f>XLOOKUP(B1145,Orders!A:A,Orders!E:E,"")</x:f>
        <x:v>West</x:v>
      </x:c>
      <x:c r="L1145" t="n">
        <x:f>XLOOKUP(B1145,Orders!A:A,Orders!B:B,"")</x:f>
        <x:v>45832</x:v>
      </x:c>
      <x:c r="M1145" t="str">
        <x:f>XLOOKUP(C1145,Products!A:A,Products!C:C,"")</x:f>
        <x:v>Furniture</x:v>
      </x:c>
    </x:row>
    <x:row r="1146">
      <x:c r="A1146" s="15" t="str">
        <x:v>ITEM00464_2</x:v>
      </x:c>
      <x:c r="B1146" s="15" t="str">
        <x:v>ORD00464</x:v>
      </x:c>
      <x:c r="C1146" s="15" t="str">
        <x:v>PROD017</x:v>
      </x:c>
      <x:c r="D1146" s="15" t="n">
        <x:v>3</x:v>
      </x:c>
      <x:c r="E1146" s="15" t="n">
        <x:v>7311.62</x:v>
      </x:c>
      <x:c r="F1146" s="15" t="n">
        <x:v>0.1</x:v>
      </x:c>
      <x:c r="G1146" s="15" t="n">
        <x:v>21934.86</x:v>
      </x:c>
      <x:c r="H1146" s="15" t="n">
        <x:v>19741.37</x:v>
      </x:c>
      <x:c r="I1146" s="15" t="n">
        <x:v>15774</x:v>
      </x:c>
      <x:c r="J1146" s="15" t="n">
        <x:v>3967.37</x:v>
      </x:c>
      <x:c r="K1146" t="str">
        <x:f>XLOOKUP(B1146,Orders!A:A,Orders!E:E,"")</x:f>
        <x:v>West</x:v>
      </x:c>
      <x:c r="L1146" t="n">
        <x:f>XLOOKUP(B1146,Orders!A:A,Orders!B:B,"")</x:f>
        <x:v>45832</x:v>
      </x:c>
      <x:c r="M1146" t="str">
        <x:f>XLOOKUP(C1146,Products!A:A,Products!C:C,"")</x:f>
        <x:v>Accessories</x:v>
      </x:c>
    </x:row>
    <x:row r="1147">
      <x:c r="A1147" s="15" t="str">
        <x:v>ITEM00464_3</x:v>
      </x:c>
      <x:c r="B1147" s="15" t="str">
        <x:v>ORD00464</x:v>
      </x:c>
      <x:c r="C1147" s="15" t="str">
        <x:v>PROD040</x:v>
      </x:c>
      <x:c r="D1147" s="15" t="n">
        <x:v>2</x:v>
      </x:c>
      <x:c r="E1147" s="15" t="n">
        <x:v>8561.07</x:v>
      </x:c>
      <x:c r="F1147" s="15" t="n">
        <x:v>0.05</x:v>
      </x:c>
      <x:c r="G1147" s="15" t="n">
        <x:v>17122.14</x:v>
      </x:c>
      <x:c r="H1147" s="15" t="n">
        <x:v>16266.03</x:v>
      </x:c>
      <x:c r="I1147" s="15" t="n">
        <x:v>13682</x:v>
      </x:c>
      <x:c r="J1147" s="15" t="n">
        <x:v>2584.03</x:v>
      </x:c>
      <x:c r="K1147" t="str">
        <x:f>XLOOKUP(B1147,Orders!A:A,Orders!E:E,"")</x:f>
        <x:v>West</x:v>
      </x:c>
      <x:c r="L1147" t="n">
        <x:f>XLOOKUP(B1147,Orders!A:A,Orders!B:B,"")</x:f>
        <x:v>45832</x:v>
      </x:c>
      <x:c r="M1147" t="str">
        <x:f>XLOOKUP(C1147,Products!A:A,Products!C:C,"")</x:f>
        <x:v>Electronics</x:v>
      </x:c>
    </x:row>
    <x:row r="1148">
      <x:c r="A1148" s="15" t="str">
        <x:v>ITEM00465_1</x:v>
      </x:c>
      <x:c r="B1148" s="15" t="str">
        <x:v>ORD00465</x:v>
      </x:c>
      <x:c r="C1148" s="15" t="str">
        <x:v>PROD029</x:v>
      </x:c>
      <x:c r="D1148" s="15" t="n">
        <x:v>5</x:v>
      </x:c>
      <x:c r="E1148" s="15" t="n">
        <x:v>8430.77</x:v>
      </x:c>
      <x:c r="F1148" s="15" t="n">
        <x:v>0.15</x:v>
      </x:c>
      <x:c r="G1148" s="15" t="n">
        <x:v>42153.85</x:v>
      </x:c>
      <x:c r="H1148" s="15" t="n">
        <x:v>35830.77</x:v>
      </x:c>
      <x:c r="I1148" s="15" t="n">
        <x:v>30925</x:v>
      </x:c>
      <x:c r="J1148" s="15" t="n">
        <x:v>4905.77</x:v>
      </x:c>
      <x:c r="K1148" t="str">
        <x:f>XLOOKUP(B1148,Orders!A:A,Orders!E:E,"")</x:f>
        <x:v>North</x:v>
      </x:c>
      <x:c r="L1148" t="n">
        <x:f>XLOOKUP(B1148,Orders!A:A,Orders!B:B,"")</x:f>
        <x:v>46177</x:v>
      </x:c>
      <x:c r="M1148" t="str">
        <x:f>XLOOKUP(C1148,Products!A:A,Products!C:C,"")</x:f>
        <x:v>Office Supplies</x:v>
      </x:c>
    </x:row>
    <x:row r="1149">
      <x:c r="A1149" s="15" t="str">
        <x:v>ITEM00465_2</x:v>
      </x:c>
      <x:c r="B1149" s="15" t="str">
        <x:v>ORD00465</x:v>
      </x:c>
      <x:c r="C1149" s="15" t="str">
        <x:v>PROD015</x:v>
      </x:c>
      <x:c r="D1149" s="15" t="n">
        <x:v>6</x:v>
      </x:c>
      <x:c r="E1149" s="15" t="n">
        <x:v>5903.1</x:v>
      </x:c>
      <x:c r="F1149" s="15" t="n">
        <x:v>0.05</x:v>
      </x:c>
      <x:c r="G1149" s="15" t="n">
        <x:v>35418.6</x:v>
      </x:c>
      <x:c r="H1149" s="15" t="n">
        <x:v>33647.67</x:v>
      </x:c>
      <x:c r="I1149" s="15" t="n">
        <x:v>28710</x:v>
      </x:c>
      <x:c r="J1149" s="15" t="n">
        <x:v>4937.67</x:v>
      </x:c>
      <x:c r="K1149" t="str">
        <x:f>XLOOKUP(B1149,Orders!A:A,Orders!E:E,"")</x:f>
        <x:v>North</x:v>
      </x:c>
      <x:c r="L1149" t="n">
        <x:f>XLOOKUP(B1149,Orders!A:A,Orders!B:B,"")</x:f>
        <x:v>46177</x:v>
      </x:c>
      <x:c r="M1149" t="str">
        <x:f>XLOOKUP(C1149,Products!A:A,Products!C:C,"")</x:f>
        <x:v>Electronics</x:v>
      </x:c>
    </x:row>
    <x:row r="1150">
      <x:c r="A1150" s="15" t="str">
        <x:v>ITEM00466_1</x:v>
      </x:c>
      <x:c r="B1150" s="15" t="str">
        <x:v>ORD00466</x:v>
      </x:c>
      <x:c r="C1150" s="15" t="str">
        <x:v>PROD009</x:v>
      </x:c>
      <x:c r="D1150" s="15" t="n">
        <x:v>8</x:v>
      </x:c>
      <x:c r="E1150" s="15" t="n">
        <x:v>4722.96</x:v>
      </x:c>
      <x:c r="F1150" s="15" t="n">
        <x:v>0</x:v>
      </x:c>
      <x:c r="G1150" s="15" t="n">
        <x:v>37783.68</x:v>
      </x:c>
      <x:c r="H1150" s="15" t="n">
        <x:v>37783.68</x:v>
      </x:c>
      <x:c r="I1150" s="15" t="n">
        <x:v>25704</x:v>
      </x:c>
      <x:c r="J1150" s="15" t="n">
        <x:v>12079.68</x:v>
      </x:c>
      <x:c r="K1150" t="str">
        <x:f>XLOOKUP(B1150,Orders!A:A,Orders!E:E,"")</x:f>
        <x:v>West</x:v>
      </x:c>
      <x:c r="L1150" t="n">
        <x:f>XLOOKUP(B1150,Orders!A:A,Orders!B:B,"")</x:f>
        <x:v>45859</x:v>
      </x:c>
      <x:c r="M1150" t="str">
        <x:f>XLOOKUP(C1150,Products!A:A,Products!C:C,"")</x:f>
        <x:v>Accessories</x:v>
      </x:c>
    </x:row>
    <x:row r="1151">
      <x:c r="A1151" s="15" t="str">
        <x:v>ITEM00466_2</x:v>
      </x:c>
      <x:c r="B1151" s="15" t="str">
        <x:v>ORD00466</x:v>
      </x:c>
      <x:c r="C1151" s="15" t="str">
        <x:v>PROD013</x:v>
      </x:c>
      <x:c r="D1151" s="15" t="n">
        <x:v>3</x:v>
      </x:c>
      <x:c r="E1151" s="15" t="n">
        <x:v>7614.02</x:v>
      </x:c>
      <x:c r="F1151" s="15" t="n">
        <x:v>0</x:v>
      </x:c>
      <x:c r="G1151" s="15" t="n">
        <x:v>22842.06</x:v>
      </x:c>
      <x:c r="H1151" s="15" t="n">
        <x:v>22842.06</x:v>
      </x:c>
      <x:c r="I1151" s="15" t="n">
        <x:v>18231</x:v>
      </x:c>
      <x:c r="J1151" s="15" t="n">
        <x:v>4611.06</x:v>
      </x:c>
      <x:c r="K1151" t="str">
        <x:f>XLOOKUP(B1151,Orders!A:A,Orders!E:E,"")</x:f>
        <x:v>West</x:v>
      </x:c>
      <x:c r="L1151" t="n">
        <x:f>XLOOKUP(B1151,Orders!A:A,Orders!B:B,"")</x:f>
        <x:v>45859</x:v>
      </x:c>
      <x:c r="M1151" t="str">
        <x:f>XLOOKUP(C1151,Products!A:A,Products!C:C,"")</x:f>
        <x:v>Furniture</x:v>
      </x:c>
    </x:row>
    <x:row r="1152">
      <x:c r="A1152" s="15" t="str">
        <x:v>ITEM00467_1</x:v>
      </x:c>
      <x:c r="B1152" s="15" t="str">
        <x:v>ORD00467</x:v>
      </x:c>
      <x:c r="C1152" s="15" t="str">
        <x:v>PROD023</x:v>
      </x:c>
      <x:c r="D1152" s="15" t="n">
        <x:v>1</x:v>
      </x:c>
      <x:c r="E1152" s="15" t="n">
        <x:v>5153.56</x:v>
      </x:c>
      <x:c r="F1152" s="15" t="n">
        <x:v>0.15</x:v>
      </x:c>
      <x:c r="G1152" s="15" t="n">
        <x:v>5153.56</x:v>
      </x:c>
      <x:c r="H1152" s="15" t="n">
        <x:v>4380.53</x:v>
      </x:c>
      <x:c r="I1152" s="15" t="n">
        <x:v>3958</x:v>
      </x:c>
      <x:c r="J1152" s="15" t="n">
        <x:v>422.53</x:v>
      </x:c>
      <x:c r="K1152" t="str">
        <x:f>XLOOKUP(B1152,Orders!A:A,Orders!E:E,"")</x:f>
        <x:v>North</x:v>
      </x:c>
      <x:c r="L1152" t="n">
        <x:f>XLOOKUP(B1152,Orders!A:A,Orders!B:B,"")</x:f>
        <x:v>45745</x:v>
      </x:c>
      <x:c r="M1152" t="str">
        <x:f>XLOOKUP(C1152,Products!A:A,Products!C:C,"")</x:f>
        <x:v>Electronics</x:v>
      </x:c>
    </x:row>
    <x:row r="1153">
      <x:c r="A1153" s="15" t="str">
        <x:v>ITEM00467_2</x:v>
      </x:c>
      <x:c r="B1153" s="15" t="str">
        <x:v>ORD00467</x:v>
      </x:c>
      <x:c r="C1153" s="15" t="str">
        <x:v>PROD008</x:v>
      </x:c>
      <x:c r="D1153" s="15" t="n">
        <x:v>6</x:v>
      </x:c>
      <x:c r="E1153" s="15" t="n">
        <x:v>8534.48</x:v>
      </x:c>
      <x:c r="F1153" s="15" t="n">
        <x:v>0.05</x:v>
      </x:c>
      <x:c r="G1153" s="15" t="n">
        <x:v>51206.88</x:v>
      </x:c>
      <x:c r="H1153" s="15" t="n">
        <x:v>48646.54</x:v>
      </x:c>
      <x:c r="I1153" s="15" t="n">
        <x:v>37182</x:v>
      </x:c>
      <x:c r="J1153" s="15" t="n">
        <x:v>11464.54</x:v>
      </x:c>
      <x:c r="K1153" t="str">
        <x:f>XLOOKUP(B1153,Orders!A:A,Orders!E:E,"")</x:f>
        <x:v>North</x:v>
      </x:c>
      <x:c r="L1153" t="n">
        <x:f>XLOOKUP(B1153,Orders!A:A,Orders!B:B,"")</x:f>
        <x:v>45745</x:v>
      </x:c>
      <x:c r="M1153" t="str">
        <x:f>XLOOKUP(C1153,Products!A:A,Products!C:C,"")</x:f>
        <x:v>Office Supplies</x:v>
      </x:c>
    </x:row>
    <x:row r="1154">
      <x:c r="A1154" s="15" t="str">
        <x:v>ITEM00468_1</x:v>
      </x:c>
      <x:c r="B1154" s="15" t="str">
        <x:v>ORD00468</x:v>
      </x:c>
      <x:c r="C1154" s="15" t="str">
        <x:v>PROD019</x:v>
      </x:c>
      <x:c r="D1154" s="15" t="n">
        <x:v>8</x:v>
      </x:c>
      <x:c r="E1154" s="15" t="n">
        <x:v>5996.29</x:v>
      </x:c>
      <x:c r="F1154" s="15" t="n">
        <x:v>0.05</x:v>
      </x:c>
      <x:c r="G1154" s="15" t="n">
        <x:v>47970.32</x:v>
      </x:c>
      <x:c r="H1154" s="15" t="n">
        <x:v>45571.8</x:v>
      </x:c>
      <x:c r="I1154" s="15" t="n">
        <x:v>36080</x:v>
      </x:c>
      <x:c r="J1154" s="15" t="n">
        <x:v>9491.8</x:v>
      </x:c>
      <x:c r="K1154" t="str">
        <x:f>XLOOKUP(B1154,Orders!A:A,Orders!E:E,"")</x:f>
        <x:v>North</x:v>
      </x:c>
      <x:c r="L1154" t="n">
        <x:f>XLOOKUP(B1154,Orders!A:A,Orders!B:B,"")</x:f>
        <x:v>45808</x:v>
      </x:c>
      <x:c r="M1154" t="str">
        <x:f>XLOOKUP(C1154,Products!A:A,Products!C:C,"")</x:f>
        <x:v>Electronics</x:v>
      </x:c>
    </x:row>
    <x:row r="1155">
      <x:c r="A1155" s="15" t="str">
        <x:v>ITEM00468_2</x:v>
      </x:c>
      <x:c r="B1155" s="15" t="str">
        <x:v>ORD00468</x:v>
      </x:c>
      <x:c r="C1155" s="15" t="str">
        <x:v>PROD029</x:v>
      </x:c>
      <x:c r="D1155" s="15" t="n">
        <x:v>2</x:v>
      </x:c>
      <x:c r="E1155" s="15" t="n">
        <x:v>8430.77</x:v>
      </x:c>
      <x:c r="F1155" s="15" t="n">
        <x:v>0</x:v>
      </x:c>
      <x:c r="G1155" s="15" t="n">
        <x:v>16861.54</x:v>
      </x:c>
      <x:c r="H1155" s="15" t="n">
        <x:v>16861.54</x:v>
      </x:c>
      <x:c r="I1155" s="15" t="n">
        <x:v>12370</x:v>
      </x:c>
      <x:c r="J1155" s="15" t="n">
        <x:v>4491.54</x:v>
      </x:c>
      <x:c r="K1155" t="str">
        <x:f>XLOOKUP(B1155,Orders!A:A,Orders!E:E,"")</x:f>
        <x:v>North</x:v>
      </x:c>
      <x:c r="L1155" t="n">
        <x:f>XLOOKUP(B1155,Orders!A:A,Orders!B:B,"")</x:f>
        <x:v>45808</x:v>
      </x:c>
      <x:c r="M1155" t="str">
        <x:f>XLOOKUP(C1155,Products!A:A,Products!C:C,"")</x:f>
        <x:v>Office Supplies</x:v>
      </x:c>
    </x:row>
    <x:row r="1156">
      <x:c r="A1156" s="15" t="str">
        <x:v>ITEM00469_1</x:v>
      </x:c>
      <x:c r="B1156" s="15" t="str">
        <x:v>ORD00469</x:v>
      </x:c>
      <x:c r="C1156" s="15" t="str">
        <x:v>PROD015</x:v>
      </x:c>
      <x:c r="D1156" s="15" t="n">
        <x:v>8</x:v>
      </x:c>
      <x:c r="E1156" s="15" t="n">
        <x:v>5903.1</x:v>
      </x:c>
      <x:c r="F1156" s="15" t="n">
        <x:v>0.15</x:v>
      </x:c>
      <x:c r="G1156" s="15" t="n">
        <x:v>47224.8</x:v>
      </x:c>
      <x:c r="H1156" s="15" t="n">
        <x:v>40141.08</x:v>
      </x:c>
      <x:c r="I1156" s="15" t="n">
        <x:v>38280</x:v>
      </x:c>
      <x:c r="J1156" s="15" t="n">
        <x:v>1861.08</x:v>
      </x:c>
      <x:c r="K1156" t="str">
        <x:f>XLOOKUP(B1156,Orders!A:A,Orders!E:E,"")</x:f>
        <x:v>East</x:v>
      </x:c>
      <x:c r="L1156" t="n">
        <x:f>XLOOKUP(B1156,Orders!A:A,Orders!B:B,"")</x:f>
        <x:v>45868</x:v>
      </x:c>
      <x:c r="M1156" t="str">
        <x:f>XLOOKUP(C1156,Products!A:A,Products!C:C,"")</x:f>
        <x:v>Electronics</x:v>
      </x:c>
    </x:row>
    <x:row r="1157">
      <x:c r="A1157" s="15" t="str">
        <x:v>ITEM00469_2</x:v>
      </x:c>
      <x:c r="B1157" s="15" t="str">
        <x:v>ORD00469</x:v>
      </x:c>
      <x:c r="C1157" s="15" t="str">
        <x:v>PROD039</x:v>
      </x:c>
      <x:c r="D1157" s="15" t="n">
        <x:v>8</x:v>
      </x:c>
      <x:c r="E1157" s="15" t="n">
        <x:v>5945.62</x:v>
      </x:c>
      <x:c r="F1157" s="15" t="n">
        <x:v>0.1</x:v>
      </x:c>
      <x:c r="G1157" s="15" t="n">
        <x:v>47564.96</x:v>
      </x:c>
      <x:c r="H1157" s="15" t="n">
        <x:v>42808.46</x:v>
      </x:c>
      <x:c r="I1157" s="15" t="n">
        <x:v>36584</x:v>
      </x:c>
      <x:c r="J1157" s="15" t="n">
        <x:v>6224.46</x:v>
      </x:c>
      <x:c r="K1157" t="str">
        <x:f>XLOOKUP(B1157,Orders!A:A,Orders!E:E,"")</x:f>
        <x:v>East</x:v>
      </x:c>
      <x:c r="L1157" t="n">
        <x:f>XLOOKUP(B1157,Orders!A:A,Orders!B:B,"")</x:f>
        <x:v>45868</x:v>
      </x:c>
      <x:c r="M1157" t="str">
        <x:f>XLOOKUP(C1157,Products!A:A,Products!C:C,"")</x:f>
        <x:v>Office Supplies</x:v>
      </x:c>
    </x:row>
    <x:row r="1158">
      <x:c r="A1158" s="15" t="str">
        <x:v>ITEM00470_1</x:v>
      </x:c>
      <x:c r="B1158" s="15" t="str">
        <x:v>ORD00470</x:v>
      </x:c>
      <x:c r="C1158" s="15" t="str">
        <x:v>PROD008</x:v>
      </x:c>
      <x:c r="D1158" s="15" t="n">
        <x:v>6</x:v>
      </x:c>
      <x:c r="E1158" s="15" t="n">
        <x:v>8534.48</x:v>
      </x:c>
      <x:c r="F1158" s="15" t="n">
        <x:v>0</x:v>
      </x:c>
      <x:c r="G1158" s="15" t="n">
        <x:v>51206.88</x:v>
      </x:c>
      <x:c r="H1158" s="15" t="n">
        <x:v>51206.88</x:v>
      </x:c>
      <x:c r="I1158" s="15" t="n">
        <x:v>37182</x:v>
      </x:c>
      <x:c r="J1158" s="15" t="n">
        <x:v>14024.88</x:v>
      </x:c>
      <x:c r="K1158" t="str">
        <x:f>XLOOKUP(B1158,Orders!A:A,Orders!E:E,"")</x:f>
        <x:v>East</x:v>
      </x:c>
      <x:c r="L1158" t="n">
        <x:f>XLOOKUP(B1158,Orders!A:A,Orders!B:B,"")</x:f>
        <x:v>45953</x:v>
      </x:c>
      <x:c r="M1158" t="str">
        <x:f>XLOOKUP(C1158,Products!A:A,Products!C:C,"")</x:f>
        <x:v>Office Supplies</x:v>
      </x:c>
    </x:row>
    <x:row r="1159">
      <x:c r="A1159" s="15" t="str">
        <x:v>ITEM00471_1</x:v>
      </x:c>
      <x:c r="B1159" s="15" t="str">
        <x:v>ORD00471</x:v>
      </x:c>
      <x:c r="C1159" s="15" t="str">
        <x:v>PROD026</x:v>
      </x:c>
      <x:c r="D1159" s="15" t="n">
        <x:v>6</x:v>
      </x:c>
      <x:c r="E1159" s="15" t="n">
        <x:v>3848.69</x:v>
      </x:c>
      <x:c r="F1159" s="15" t="n">
        <x:v>0.1</x:v>
      </x:c>
      <x:c r="G1159" s="15" t="n">
        <x:v>23092.14</x:v>
      </x:c>
      <x:c r="H1159" s="15" t="n">
        <x:v>20782.93</x:v>
      </x:c>
      <x:c r="I1159" s="15" t="n">
        <x:v>15804</x:v>
      </x:c>
      <x:c r="J1159" s="15" t="n">
        <x:v>4978.93</x:v>
      </x:c>
      <x:c r="K1159" t="str">
        <x:f>XLOOKUP(B1159,Orders!A:A,Orders!E:E,"")</x:f>
        <x:v>North</x:v>
      </x:c>
      <x:c r="L1159" t="n">
        <x:f>XLOOKUP(B1159,Orders!A:A,Orders!B:B,"")</x:f>
        <x:v>45721</x:v>
      </x:c>
      <x:c r="M1159" t="str">
        <x:f>XLOOKUP(C1159,Products!A:A,Products!C:C,"")</x:f>
        <x:v>Accessories</x:v>
      </x:c>
    </x:row>
    <x:row r="1160">
      <x:c r="A1160" s="15" t="str">
        <x:v>ITEM00471_2</x:v>
      </x:c>
      <x:c r="B1160" s="15" t="str">
        <x:v>ORD00471</x:v>
      </x:c>
      <x:c r="C1160" s="15" t="str">
        <x:v>PROD025</x:v>
      </x:c>
      <x:c r="D1160" s="15" t="n">
        <x:v>1</x:v>
      </x:c>
      <x:c r="E1160" s="15" t="n">
        <x:v>1148.84</x:v>
      </x:c>
      <x:c r="F1160" s="15" t="n">
        <x:v>0</x:v>
      </x:c>
      <x:c r="G1160" s="15" t="n">
        <x:v>1148.84</x:v>
      </x:c>
      <x:c r="H1160" s="15" t="n">
        <x:v>1148.84</x:v>
      </x:c>
      <x:c r="I1160" s="15" t="n">
        <x:v>878</x:v>
      </x:c>
      <x:c r="J1160" s="15" t="n">
        <x:v>270.84</x:v>
      </x:c>
      <x:c r="K1160" t="str">
        <x:f>XLOOKUP(B1160,Orders!A:A,Orders!E:E,"")</x:f>
        <x:v>North</x:v>
      </x:c>
      <x:c r="L1160" t="n">
        <x:f>XLOOKUP(B1160,Orders!A:A,Orders!B:B,"")</x:f>
        <x:v>45721</x:v>
      </x:c>
      <x:c r="M1160" t="str">
        <x:f>XLOOKUP(C1160,Products!A:A,Products!C:C,"")</x:f>
        <x:v>Furniture</x:v>
      </x:c>
    </x:row>
    <x:row r="1161">
      <x:c r="A1161" s="15" t="str">
        <x:v>ITEM00471_3</x:v>
      </x:c>
      <x:c r="B1161" s="15" t="str">
        <x:v>ORD00471</x:v>
      </x:c>
      <x:c r="C1161" s="15" t="str">
        <x:v>PROD002</x:v>
      </x:c>
      <x:c r="D1161" s="15" t="n">
        <x:v>8</x:v>
      </x:c>
      <x:c r="E1161" s="15" t="n">
        <x:v>4655.92</x:v>
      </x:c>
      <x:c r="F1161" s="15" t="n">
        <x:v>0</x:v>
      </x:c>
      <x:c r="G1161" s="15" t="n">
        <x:v>37247.36</x:v>
      </x:c>
      <x:c r="H1161" s="15" t="n">
        <x:v>37247.36</x:v>
      </x:c>
      <x:c r="I1161" s="15" t="n">
        <x:v>25064</x:v>
      </x:c>
      <x:c r="J1161" s="15" t="n">
        <x:v>12183.36</x:v>
      </x:c>
      <x:c r="K1161" t="str">
        <x:f>XLOOKUP(B1161,Orders!A:A,Orders!E:E,"")</x:f>
        <x:v>North</x:v>
      </x:c>
      <x:c r="L1161" t="n">
        <x:f>XLOOKUP(B1161,Orders!A:A,Orders!B:B,"")</x:f>
        <x:v>45721</x:v>
      </x:c>
      <x:c r="M1161" t="str">
        <x:f>XLOOKUP(C1161,Products!A:A,Products!C:C,"")</x:f>
        <x:v>Accessories</x:v>
      </x:c>
    </x:row>
    <x:row r="1162">
      <x:c r="A1162" s="15" t="str">
        <x:v>ITEM00472_1</x:v>
      </x:c>
      <x:c r="B1162" s="15" t="str">
        <x:v>ORD00472</x:v>
      </x:c>
      <x:c r="C1162" s="15" t="str">
        <x:v>PROD026</x:v>
      </x:c>
      <x:c r="D1162" s="15" t="n">
        <x:v>1</x:v>
      </x:c>
      <x:c r="E1162" s="15" t="n">
        <x:v>3848.69</x:v>
      </x:c>
      <x:c r="F1162" s="15" t="n">
        <x:v>0.05</x:v>
      </x:c>
      <x:c r="G1162" s="15" t="n">
        <x:v>3848.69</x:v>
      </x:c>
      <x:c r="H1162" s="15" t="n">
        <x:v>3656.26</x:v>
      </x:c>
      <x:c r="I1162" s="15" t="n">
        <x:v>2634</x:v>
      </x:c>
      <x:c r="J1162" s="15" t="n">
        <x:v>1022.26</x:v>
      </x:c>
      <x:c r="K1162" t="str">
        <x:f>XLOOKUP(B1162,Orders!A:A,Orders!E:E,"")</x:f>
        <x:v>South</x:v>
      </x:c>
      <x:c r="L1162" t="n">
        <x:f>XLOOKUP(B1162,Orders!A:A,Orders!B:B,"")</x:f>
        <x:v>45787</x:v>
      </x:c>
      <x:c r="M1162" t="str">
        <x:f>XLOOKUP(C1162,Products!A:A,Products!C:C,"")</x:f>
        <x:v>Accessories</x:v>
      </x:c>
    </x:row>
    <x:row r="1163">
      <x:c r="A1163" s="15" t="str">
        <x:v>ITEM00472_2</x:v>
      </x:c>
      <x:c r="B1163" s="15" t="str">
        <x:v>ORD00472</x:v>
      </x:c>
      <x:c r="C1163" s="15" t="str">
        <x:v>PROD028</x:v>
      </x:c>
      <x:c r="D1163" s="15" t="n">
        <x:v>2</x:v>
      </x:c>
      <x:c r="E1163" s="15" t="n">
        <x:v>4640.74</x:v>
      </x:c>
      <x:c r="F1163" s="15" t="n">
        <x:v>0.15</x:v>
      </x:c>
      <x:c r="G1163" s="15" t="n">
        <x:v>9281.48</x:v>
      </x:c>
      <x:c r="H1163" s="15" t="n">
        <x:v>7889.26</x:v>
      </x:c>
      <x:c r="I1163" s="15" t="n">
        <x:v>7068</x:v>
      </x:c>
      <x:c r="J1163" s="15" t="n">
        <x:v>821.26</x:v>
      </x:c>
      <x:c r="K1163" t="str">
        <x:f>XLOOKUP(B1163,Orders!A:A,Orders!E:E,"")</x:f>
        <x:v>South</x:v>
      </x:c>
      <x:c r="L1163" t="n">
        <x:f>XLOOKUP(B1163,Orders!A:A,Orders!B:B,"")</x:f>
        <x:v>45787</x:v>
      </x:c>
      <x:c r="M1163" t="str">
        <x:f>XLOOKUP(C1163,Products!A:A,Products!C:C,"")</x:f>
        <x:v>Office Supplies</x:v>
      </x:c>
    </x:row>
    <x:row r="1164">
      <x:c r="A1164" s="15" t="str">
        <x:v>ITEM00473_1</x:v>
      </x:c>
      <x:c r="B1164" s="15" t="str">
        <x:v>ORD00473</x:v>
      </x:c>
      <x:c r="C1164" s="15" t="str">
        <x:v>PROD030</x:v>
      </x:c>
      <x:c r="D1164" s="15" t="n">
        <x:v>2</x:v>
      </x:c>
      <x:c r="E1164" s="15" t="n">
        <x:v>5180.7</x:v>
      </x:c>
      <x:c r="F1164" s="15" t="n">
        <x:v>0.05</x:v>
      </x:c>
      <x:c r="G1164" s="15" t="n">
        <x:v>10361.4</x:v>
      </x:c>
      <x:c r="H1164" s="15" t="n">
        <x:v>9843.33</x:v>
      </x:c>
      <x:c r="I1164" s="15" t="n">
        <x:v>7776</x:v>
      </x:c>
      <x:c r="J1164" s="15" t="n">
        <x:v>2067.33</x:v>
      </x:c>
      <x:c r="K1164" t="str">
        <x:f>XLOOKUP(B1164,Orders!A:A,Orders!E:E,"")</x:f>
        <x:v>West</x:v>
      </x:c>
      <x:c r="L1164" t="n">
        <x:f>XLOOKUP(B1164,Orders!A:A,Orders!B:B,"")</x:f>
        <x:v>45866</x:v>
      </x:c>
      <x:c r="M1164" t="str">
        <x:f>XLOOKUP(C1164,Products!A:A,Products!C:C,"")</x:f>
        <x:v>Office Supplies</x:v>
      </x:c>
    </x:row>
    <x:row r="1165">
      <x:c r="A1165" s="15" t="str">
        <x:v>ITEM00473_2</x:v>
      </x:c>
      <x:c r="B1165" s="15" t="str">
        <x:v>ORD00473</x:v>
      </x:c>
      <x:c r="C1165" s="15" t="str">
        <x:v>PROD004</x:v>
      </x:c>
      <x:c r="D1165" s="15" t="n">
        <x:v>5</x:v>
      </x:c>
      <x:c r="E1165" s="15" t="n">
        <x:v>5435.39</x:v>
      </x:c>
      <x:c r="F1165" s="15" t="n">
        <x:v>0.15</x:v>
      </x:c>
      <x:c r="G1165" s="15" t="n">
        <x:v>27176.95</x:v>
      </x:c>
      <x:c r="H1165" s="15" t="n">
        <x:v>23100.41</x:v>
      </x:c>
      <x:c r="I1165" s="15" t="n">
        <x:v>20705</x:v>
      </x:c>
      <x:c r="J1165" s="15" t="n">
        <x:v>2395.41</x:v>
      </x:c>
      <x:c r="K1165" t="str">
        <x:f>XLOOKUP(B1165,Orders!A:A,Orders!E:E,"")</x:f>
        <x:v>West</x:v>
      </x:c>
      <x:c r="L1165" t="n">
        <x:f>XLOOKUP(B1165,Orders!A:A,Orders!B:B,"")</x:f>
        <x:v>45866</x:v>
      </x:c>
      <x:c r="M1165" t="str">
        <x:f>XLOOKUP(C1165,Products!A:A,Products!C:C,"")</x:f>
        <x:v>Office Supplies</x:v>
      </x:c>
    </x:row>
    <x:row r="1166">
      <x:c r="A1166" s="15" t="str">
        <x:v>ITEM00474_1</x:v>
      </x:c>
      <x:c r="B1166" s="15" t="str">
        <x:v>ORD00474</x:v>
      </x:c>
      <x:c r="C1166" s="15" t="str">
        <x:v>PROD008</x:v>
      </x:c>
      <x:c r="D1166" s="15" t="n">
        <x:v>6</x:v>
      </x:c>
      <x:c r="E1166" s="15" t="n">
        <x:v>8534.48</x:v>
      </x:c>
      <x:c r="F1166" s="15" t="n">
        <x:v>0.05</x:v>
      </x:c>
      <x:c r="G1166" s="15" t="n">
        <x:v>51206.88</x:v>
      </x:c>
      <x:c r="H1166" s="15" t="n">
        <x:v>48646.54</x:v>
      </x:c>
      <x:c r="I1166" s="15" t="n">
        <x:v>37182</x:v>
      </x:c>
      <x:c r="J1166" s="15" t="n">
        <x:v>11464.54</x:v>
      </x:c>
      <x:c r="K1166" t="str">
        <x:f>XLOOKUP(B1166,Orders!A:A,Orders!E:E,"")</x:f>
        <x:v>East</x:v>
      </x:c>
      <x:c r="L1166" t="n">
        <x:f>XLOOKUP(B1166,Orders!A:A,Orders!B:B,"")</x:f>
        <x:v>46172</x:v>
      </x:c>
      <x:c r="M1166" t="str">
        <x:f>XLOOKUP(C1166,Products!A:A,Products!C:C,"")</x:f>
        <x:v>Office Supplies</x:v>
      </x:c>
    </x:row>
    <x:row r="1167">
      <x:c r="A1167" s="15" t="str">
        <x:v>ITEM00474_2</x:v>
      </x:c>
      <x:c r="B1167" s="15" t="str">
        <x:v>ORD00474</x:v>
      </x:c>
      <x:c r="C1167" s="15" t="str">
        <x:v>PROD004</x:v>
      </x:c>
      <x:c r="D1167" s="15" t="n">
        <x:v>7</x:v>
      </x:c>
      <x:c r="E1167" s="15" t="n">
        <x:v>5435.39</x:v>
      </x:c>
      <x:c r="F1167" s="15" t="n">
        <x:v>0</x:v>
      </x:c>
      <x:c r="G1167" s="15" t="n">
        <x:v>38047.73</x:v>
      </x:c>
      <x:c r="H1167" s="15" t="n">
        <x:v>38047.73</x:v>
      </x:c>
      <x:c r="I1167" s="15" t="n">
        <x:v>28987</x:v>
      </x:c>
      <x:c r="J1167" s="15" t="n">
        <x:v>9060.73</x:v>
      </x:c>
      <x:c r="K1167" t="str">
        <x:f>XLOOKUP(B1167,Orders!A:A,Orders!E:E,"")</x:f>
        <x:v>East</x:v>
      </x:c>
      <x:c r="L1167" t="n">
        <x:f>XLOOKUP(B1167,Orders!A:A,Orders!B:B,"")</x:f>
        <x:v>46172</x:v>
      </x:c>
      <x:c r="M1167" t="str">
        <x:f>XLOOKUP(C1167,Products!A:A,Products!C:C,"")</x:f>
        <x:v>Office Supplies</x:v>
      </x:c>
    </x:row>
    <x:row r="1168">
      <x:c r="A1168" s="15" t="str">
        <x:v>ITEM00474_3</x:v>
      </x:c>
      <x:c r="B1168" s="15" t="str">
        <x:v>ORD00474</x:v>
      </x:c>
      <x:c r="C1168" s="15" t="str">
        <x:v>PROD023</x:v>
      </x:c>
      <x:c r="D1168" s="15" t="n">
        <x:v>1</x:v>
      </x:c>
      <x:c r="E1168" s="15" t="n">
        <x:v>5153.56</x:v>
      </x:c>
      <x:c r="F1168" s="15" t="n">
        <x:v>0</x:v>
      </x:c>
      <x:c r="G1168" s="15" t="n">
        <x:v>5153.56</x:v>
      </x:c>
      <x:c r="H1168" s="15" t="n">
        <x:v>5153.56</x:v>
      </x:c>
      <x:c r="I1168" s="15" t="n">
        <x:v>3958</x:v>
      </x:c>
      <x:c r="J1168" s="15" t="n">
        <x:v>1195.56</x:v>
      </x:c>
      <x:c r="K1168" t="str">
        <x:f>XLOOKUP(B1168,Orders!A:A,Orders!E:E,"")</x:f>
        <x:v>East</x:v>
      </x:c>
      <x:c r="L1168" t="n">
        <x:f>XLOOKUP(B1168,Orders!A:A,Orders!B:B,"")</x:f>
        <x:v>46172</x:v>
      </x:c>
      <x:c r="M1168" t="str">
        <x:f>XLOOKUP(C1168,Products!A:A,Products!C:C,"")</x:f>
        <x:v>Electronics</x:v>
      </x:c>
    </x:row>
    <x:row r="1169">
      <x:c r="A1169" s="15" t="str">
        <x:v>ITEM00474_4</x:v>
      </x:c>
      <x:c r="B1169" s="15" t="str">
        <x:v>ORD00474</x:v>
      </x:c>
      <x:c r="C1169" s="15" t="str">
        <x:v>PROD026</x:v>
      </x:c>
      <x:c r="D1169" s="15" t="n">
        <x:v>6</x:v>
      </x:c>
      <x:c r="E1169" s="15" t="n">
        <x:v>3848.69</x:v>
      </x:c>
      <x:c r="F1169" s="15" t="n">
        <x:v>0.05</x:v>
      </x:c>
      <x:c r="G1169" s="15" t="n">
        <x:v>23092.14</x:v>
      </x:c>
      <x:c r="H1169" s="15" t="n">
        <x:v>21937.53</x:v>
      </x:c>
      <x:c r="I1169" s="15" t="n">
        <x:v>15804</x:v>
      </x:c>
      <x:c r="J1169" s="15" t="n">
        <x:v>6133.53</x:v>
      </x:c>
      <x:c r="K1169" t="str">
        <x:f>XLOOKUP(B1169,Orders!A:A,Orders!E:E,"")</x:f>
        <x:v>East</x:v>
      </x:c>
      <x:c r="L1169" t="n">
        <x:f>XLOOKUP(B1169,Orders!A:A,Orders!B:B,"")</x:f>
        <x:v>46172</x:v>
      </x:c>
      <x:c r="M1169" t="str">
        <x:f>XLOOKUP(C1169,Products!A:A,Products!C:C,"")</x:f>
        <x:v>Accessories</x:v>
      </x:c>
    </x:row>
    <x:row r="1170">
      <x:c r="A1170" s="15" t="str">
        <x:v>ITEM00475_1</x:v>
      </x:c>
      <x:c r="B1170" s="15" t="str">
        <x:v>ORD00475</x:v>
      </x:c>
      <x:c r="C1170" s="15" t="str">
        <x:v>PROD032</x:v>
      </x:c>
      <x:c r="D1170" s="15" t="n">
        <x:v>7</x:v>
      </x:c>
      <x:c r="E1170" s="15" t="n">
        <x:v>6307.06</x:v>
      </x:c>
      <x:c r="F1170" s="15" t="n">
        <x:v>0.05</x:v>
      </x:c>
      <x:c r="G1170" s="15" t="n">
        <x:v>44149.42</x:v>
      </x:c>
      <x:c r="H1170" s="15" t="n">
        <x:v>41941.95</x:v>
      </x:c>
      <x:c r="I1170" s="15" t="n">
        <x:v>35539</x:v>
      </x:c>
      <x:c r="J1170" s="15" t="n">
        <x:v>6402.95</x:v>
      </x:c>
      <x:c r="K1170" t="str">
        <x:f>XLOOKUP(B1170,Orders!A:A,Orders!E:E,"")</x:f>
        <x:v>South</x:v>
      </x:c>
      <x:c r="L1170" t="n">
        <x:f>XLOOKUP(B1170,Orders!A:A,Orders!B:B,"")</x:f>
        <x:v>46145</x:v>
      </x:c>
      <x:c r="M1170" t="str">
        <x:f>XLOOKUP(C1170,Products!A:A,Products!C:C,"")</x:f>
        <x:v>Electronics</x:v>
      </x:c>
    </x:row>
    <x:row r="1171">
      <x:c r="A1171" s="15" t="str">
        <x:v>ITEM00475_2</x:v>
      </x:c>
      <x:c r="B1171" s="15" t="str">
        <x:v>ORD00475</x:v>
      </x:c>
      <x:c r="C1171" s="15" t="str">
        <x:v>PROD001</x:v>
      </x:c>
      <x:c r="D1171" s="15" t="n">
        <x:v>3</x:v>
      </x:c>
      <x:c r="E1171" s="15" t="n">
        <x:v>8672.7</x:v>
      </x:c>
      <x:c r="F1171" s="15" t="n">
        <x:v>0</x:v>
      </x:c>
      <x:c r="G1171" s="15" t="n">
        <x:v>26018.1</x:v>
      </x:c>
      <x:c r="H1171" s="15" t="n">
        <x:v>26018.1</x:v>
      </x:c>
      <x:c r="I1171" s="15" t="n">
        <x:v>18489</x:v>
      </x:c>
      <x:c r="J1171" s="15" t="n">
        <x:v>7529.1</x:v>
      </x:c>
      <x:c r="K1171" t="str">
        <x:f>XLOOKUP(B1171,Orders!A:A,Orders!E:E,"")</x:f>
        <x:v>South</x:v>
      </x:c>
      <x:c r="L1171" t="n">
        <x:f>XLOOKUP(B1171,Orders!A:A,Orders!B:B,"")</x:f>
        <x:v>46145</x:v>
      </x:c>
      <x:c r="M1171" t="str">
        <x:f>XLOOKUP(C1171,Products!A:A,Products!C:C,"")</x:f>
        <x:v>Office Supplies</x:v>
      </x:c>
    </x:row>
    <x:row r="1172">
      <x:c r="A1172" s="15" t="str">
        <x:v>ITEM00476_1</x:v>
      </x:c>
      <x:c r="B1172" s="15" t="str">
        <x:v>ORD00476</x:v>
      </x:c>
      <x:c r="C1172" s="15" t="str">
        <x:v>PROD040</x:v>
      </x:c>
      <x:c r="D1172" s="15" t="n">
        <x:v>4</x:v>
      </x:c>
      <x:c r="E1172" s="15" t="n">
        <x:v>8561.07</x:v>
      </x:c>
      <x:c r="F1172" s="15" t="n">
        <x:v>0.05</x:v>
      </x:c>
      <x:c r="G1172" s="15" t="n">
        <x:v>34244.28</x:v>
      </x:c>
      <x:c r="H1172" s="15" t="n">
        <x:v>32532.07</x:v>
      </x:c>
      <x:c r="I1172" s="15" t="n">
        <x:v>27364</x:v>
      </x:c>
      <x:c r="J1172" s="15" t="n">
        <x:v>5168.07</x:v>
      </x:c>
      <x:c r="K1172" t="str">
        <x:f>XLOOKUP(B1172,Orders!A:A,Orders!E:E,"")</x:f>
        <x:v>East</x:v>
      </x:c>
      <x:c r="L1172" t="n">
        <x:f>XLOOKUP(B1172,Orders!A:A,Orders!B:B,"")</x:f>
        <x:v>45705</x:v>
      </x:c>
      <x:c r="M1172" t="str">
        <x:f>XLOOKUP(C1172,Products!A:A,Products!C:C,"")</x:f>
        <x:v>Electronics</x:v>
      </x:c>
    </x:row>
    <x:row r="1173">
      <x:c r="A1173" s="15" t="str">
        <x:v>ITEM00476_2</x:v>
      </x:c>
      <x:c r="B1173" s="15" t="str">
        <x:v>ORD00476</x:v>
      </x:c>
      <x:c r="C1173" s="15" t="str">
        <x:v>PROD013</x:v>
      </x:c>
      <x:c r="D1173" s="15" t="n">
        <x:v>1</x:v>
      </x:c>
      <x:c r="E1173" s="15" t="n">
        <x:v>7614.02</x:v>
      </x:c>
      <x:c r="F1173" s="15" t="n">
        <x:v>0.1</x:v>
      </x:c>
      <x:c r="G1173" s="15" t="n">
        <x:v>7614.02</x:v>
      </x:c>
      <x:c r="H1173" s="15" t="n">
        <x:v>6852.62</x:v>
      </x:c>
      <x:c r="I1173" s="15" t="n">
        <x:v>6077</x:v>
      </x:c>
      <x:c r="J1173" s="15" t="n">
        <x:v>775.62</x:v>
      </x:c>
      <x:c r="K1173" t="str">
        <x:f>XLOOKUP(B1173,Orders!A:A,Orders!E:E,"")</x:f>
        <x:v>East</x:v>
      </x:c>
      <x:c r="L1173" t="n">
        <x:f>XLOOKUP(B1173,Orders!A:A,Orders!B:B,"")</x:f>
        <x:v>45705</x:v>
      </x:c>
      <x:c r="M1173" t="str">
        <x:f>XLOOKUP(C1173,Products!A:A,Products!C:C,"")</x:f>
        <x:v>Furniture</x:v>
      </x:c>
    </x:row>
    <x:row r="1174">
      <x:c r="A1174" s="15" t="str">
        <x:v>ITEM00476_3</x:v>
      </x:c>
      <x:c r="B1174" s="15" t="str">
        <x:v>ORD00476</x:v>
      </x:c>
      <x:c r="C1174" s="15" t="str">
        <x:v>PROD033</x:v>
      </x:c>
      <x:c r="D1174" s="15" t="n">
        <x:v>3</x:v>
      </x:c>
      <x:c r="E1174" s="15" t="n">
        <x:v>3912.41</x:v>
      </x:c>
      <x:c r="F1174" s="15" t="n">
        <x:v>0.05</x:v>
      </x:c>
      <x:c r="G1174" s="15" t="n">
        <x:v>11737.23</x:v>
      </x:c>
      <x:c r="H1174" s="15" t="n">
        <x:v>11150.37</x:v>
      </x:c>
      <x:c r="I1174" s="15" t="n">
        <x:v>8973</x:v>
      </x:c>
      <x:c r="J1174" s="15" t="n">
        <x:v>2177.37</x:v>
      </x:c>
      <x:c r="K1174" t="str">
        <x:f>XLOOKUP(B1174,Orders!A:A,Orders!E:E,"")</x:f>
        <x:v>East</x:v>
      </x:c>
      <x:c r="L1174" t="n">
        <x:f>XLOOKUP(B1174,Orders!A:A,Orders!B:B,"")</x:f>
        <x:v>45705</x:v>
      </x:c>
      <x:c r="M1174" t="str">
        <x:f>XLOOKUP(C1174,Products!A:A,Products!C:C,"")</x:f>
        <x:v>Furniture</x:v>
      </x:c>
    </x:row>
    <x:row r="1175">
      <x:c r="A1175" s="15" t="str">
        <x:v>ITEM00476_4</x:v>
      </x:c>
      <x:c r="B1175" s="15" t="str">
        <x:v>ORD00476</x:v>
      </x:c>
      <x:c r="C1175" s="15" t="str">
        <x:v>PROD010</x:v>
      </x:c>
      <x:c r="D1175" s="15" t="n">
        <x:v>4</x:v>
      </x:c>
      <x:c r="E1175" s="15" t="n">
        <x:v>8670.63</x:v>
      </x:c>
      <x:c r="F1175" s="15" t="n">
        <x:v>0.05</x:v>
      </x:c>
      <x:c r="G1175" s="15" t="n">
        <x:v>34682.52</x:v>
      </x:c>
      <x:c r="H1175" s="15" t="n">
        <x:v>32948.39</x:v>
      </x:c>
      <x:c r="I1175" s="15" t="n">
        <x:v>23412</x:v>
      </x:c>
      <x:c r="J1175" s="15" t="n">
        <x:v>9536.39</x:v>
      </x:c>
      <x:c r="K1175" t="str">
        <x:f>XLOOKUP(B1175,Orders!A:A,Orders!E:E,"")</x:f>
        <x:v>East</x:v>
      </x:c>
      <x:c r="L1175" t="n">
        <x:f>XLOOKUP(B1175,Orders!A:A,Orders!B:B,"")</x:f>
        <x:v>45705</x:v>
      </x:c>
      <x:c r="M1175" t="str">
        <x:f>XLOOKUP(C1175,Products!A:A,Products!C:C,"")</x:f>
        <x:v>Accessories</x:v>
      </x:c>
    </x:row>
    <x:row r="1176">
      <x:c r="A1176" s="15" t="str">
        <x:v>ITEM00477_1</x:v>
      </x:c>
      <x:c r="B1176" s="15" t="str">
        <x:v>ORD00477</x:v>
      </x:c>
      <x:c r="C1176" s="15" t="str">
        <x:v>PROD005</x:v>
      </x:c>
      <x:c r="D1176" s="15" t="n">
        <x:v>8</x:v>
      </x:c>
      <x:c r="E1176" s="15" t="n">
        <x:v>6453.62</x:v>
      </x:c>
      <x:c r="F1176" s="15" t="n">
        <x:v>0.05</x:v>
      </x:c>
      <x:c r="G1176" s="15" t="n">
        <x:v>51628.96</x:v>
      </x:c>
      <x:c r="H1176" s="15" t="n">
        <x:v>49047.51</x:v>
      </x:c>
      <x:c r="I1176" s="15" t="n">
        <x:v>38784</x:v>
      </x:c>
      <x:c r="J1176" s="15" t="n">
        <x:v>10263.51</x:v>
      </x:c>
      <x:c r="K1176" t="str">
        <x:f>XLOOKUP(B1176,Orders!A:A,Orders!E:E,"")</x:f>
        <x:v>East</x:v>
      </x:c>
      <x:c r="L1176" t="n">
        <x:f>XLOOKUP(B1176,Orders!A:A,Orders!B:B,"")</x:f>
        <x:v>46065</x:v>
      </x:c>
      <x:c r="M1176" t="str">
        <x:f>XLOOKUP(C1176,Products!A:A,Products!C:C,"")</x:f>
        <x:v>Office Supplies</x:v>
      </x:c>
    </x:row>
    <x:row r="1177">
      <x:c r="A1177" s="15" t="str">
        <x:v>ITEM00477_2</x:v>
      </x:c>
      <x:c r="B1177" s="15" t="str">
        <x:v>ORD00477</x:v>
      </x:c>
      <x:c r="C1177" s="15" t="str">
        <x:v>PROD003</x:v>
      </x:c>
      <x:c r="D1177" s="15" t="n">
        <x:v>7</x:v>
      </x:c>
      <x:c r="E1177" s="15" t="n">
        <x:v>10757.89</x:v>
      </x:c>
      <x:c r="F1177" s="15" t="n">
        <x:v>0.05</x:v>
      </x:c>
      <x:c r="G1177" s="15" t="n">
        <x:v>75305.23</x:v>
      </x:c>
      <x:c r="H1177" s="15" t="n">
        <x:v>71539.97</x:v>
      </x:c>
      <x:c r="I1177" s="15" t="n">
        <x:v>51947</x:v>
      </x:c>
      <x:c r="J1177" s="15" t="n">
        <x:v>19592.97</x:v>
      </x:c>
      <x:c r="K1177" t="str">
        <x:f>XLOOKUP(B1177,Orders!A:A,Orders!E:E,"")</x:f>
        <x:v>East</x:v>
      </x:c>
      <x:c r="L1177" t="n">
        <x:f>XLOOKUP(B1177,Orders!A:A,Orders!B:B,"")</x:f>
        <x:v>46065</x:v>
      </x:c>
      <x:c r="M1177" t="str">
        <x:f>XLOOKUP(C1177,Products!A:A,Products!C:C,"")</x:f>
        <x:v>Accessories</x:v>
      </x:c>
    </x:row>
    <x:row r="1178">
      <x:c r="A1178" s="15" t="str">
        <x:v>ITEM00477_3</x:v>
      </x:c>
      <x:c r="B1178" s="15" t="str">
        <x:v>ORD00477</x:v>
      </x:c>
      <x:c r="C1178" s="15" t="str">
        <x:v>PROD004</x:v>
      </x:c>
      <x:c r="D1178" s="15" t="n">
        <x:v>8</x:v>
      </x:c>
      <x:c r="E1178" s="15" t="n">
        <x:v>5435.39</x:v>
      </x:c>
      <x:c r="F1178" s="15" t="n">
        <x:v>0</x:v>
      </x:c>
      <x:c r="G1178" s="15" t="n">
        <x:v>43483.12</x:v>
      </x:c>
      <x:c r="H1178" s="15" t="n">
        <x:v>43483.12</x:v>
      </x:c>
      <x:c r="I1178" s="15" t="n">
        <x:v>33128</x:v>
      </x:c>
      <x:c r="J1178" s="15" t="n">
        <x:v>10355.12</x:v>
      </x:c>
      <x:c r="K1178" t="str">
        <x:f>XLOOKUP(B1178,Orders!A:A,Orders!E:E,"")</x:f>
        <x:v>East</x:v>
      </x:c>
      <x:c r="L1178" t="n">
        <x:f>XLOOKUP(B1178,Orders!A:A,Orders!B:B,"")</x:f>
        <x:v>46065</x:v>
      </x:c>
      <x:c r="M1178" t="str">
        <x:f>XLOOKUP(C1178,Products!A:A,Products!C:C,"")</x:f>
        <x:v>Office Supplies</x:v>
      </x:c>
    </x:row>
    <x:row r="1179">
      <x:c r="A1179" s="15" t="str">
        <x:v>ITEM00478_1</x:v>
      </x:c>
      <x:c r="B1179" s="15" t="str">
        <x:v>ORD00478</x:v>
      </x:c>
      <x:c r="C1179" s="15" t="str">
        <x:v>PROD006</x:v>
      </x:c>
      <x:c r="D1179" s="15" t="n">
        <x:v>3</x:v>
      </x:c>
      <x:c r="E1179" s="15" t="n">
        <x:v>4261.26</x:v>
      </x:c>
      <x:c r="F1179" s="15" t="n">
        <x:v>0.05</x:v>
      </x:c>
      <x:c r="G1179" s="15" t="n">
        <x:v>12783.78</x:v>
      </x:c>
      <x:c r="H1179" s="15" t="n">
        <x:v>12144.59</x:v>
      </x:c>
      <x:c r="I1179" s="15" t="n">
        <x:v>9201</x:v>
      </x:c>
      <x:c r="J1179" s="15" t="n">
        <x:v>2943.59</x:v>
      </x:c>
      <x:c r="K1179" t="str">
        <x:f>XLOOKUP(B1179,Orders!A:A,Orders!E:E,"")</x:f>
        <x:v>West</x:v>
      </x:c>
      <x:c r="L1179" t="n">
        <x:f>XLOOKUP(B1179,Orders!A:A,Orders!B:B,"")</x:f>
        <x:v>45832</x:v>
      </x:c>
      <x:c r="M1179" t="str">
        <x:f>XLOOKUP(C1179,Products!A:A,Products!C:C,"")</x:f>
        <x:v>Office Supplies</x:v>
      </x:c>
    </x:row>
    <x:row r="1180">
      <x:c r="A1180" s="15" t="str">
        <x:v>ITEM00479_1</x:v>
      </x:c>
      <x:c r="B1180" s="15" t="str">
        <x:v>ORD00479</x:v>
      </x:c>
      <x:c r="C1180" s="15" t="str">
        <x:v>PROD030</x:v>
      </x:c>
      <x:c r="D1180" s="15" t="n">
        <x:v>5</x:v>
      </x:c>
      <x:c r="E1180" s="15" t="n">
        <x:v>5180.7</x:v>
      </x:c>
      <x:c r="F1180" s="15" t="n">
        <x:v>0</x:v>
      </x:c>
      <x:c r="G1180" s="15" t="n">
        <x:v>25903.5</x:v>
      </x:c>
      <x:c r="H1180" s="15" t="n">
        <x:v>25903.5</x:v>
      </x:c>
      <x:c r="I1180" s="15" t="n">
        <x:v>19440</x:v>
      </x:c>
      <x:c r="J1180" s="15" t="n">
        <x:v>6463.5</x:v>
      </x:c>
      <x:c r="K1180" t="str">
        <x:f>XLOOKUP(B1180,Orders!A:A,Orders!E:E,"")</x:f>
        <x:v>West</x:v>
      </x:c>
      <x:c r="L1180" t="n">
        <x:f>XLOOKUP(B1180,Orders!A:A,Orders!B:B,"")</x:f>
        <x:v>45969</x:v>
      </x:c>
      <x:c r="M1180" t="str">
        <x:f>XLOOKUP(C1180,Products!A:A,Products!C:C,"")</x:f>
        <x:v>Office Supplies</x:v>
      </x:c>
    </x:row>
    <x:row r="1181">
      <x:c r="A1181" s="15" t="str">
        <x:v>ITEM00480_1</x:v>
      </x:c>
      <x:c r="B1181" s="15" t="str">
        <x:v>ORD00480</x:v>
      </x:c>
      <x:c r="C1181" s="15" t="str">
        <x:v>PROD002</x:v>
      </x:c>
      <x:c r="D1181" s="15" t="n">
        <x:v>4</x:v>
      </x:c>
      <x:c r="E1181" s="15" t="n">
        <x:v>4655.92</x:v>
      </x:c>
      <x:c r="F1181" s="15" t="n">
        <x:v>0</x:v>
      </x:c>
      <x:c r="G1181" s="15" t="n">
        <x:v>18623.68</x:v>
      </x:c>
      <x:c r="H1181" s="15" t="n">
        <x:v>18623.68</x:v>
      </x:c>
      <x:c r="I1181" s="15" t="n">
        <x:v>12532</x:v>
      </x:c>
      <x:c r="J1181" s="15" t="n">
        <x:v>6091.68</x:v>
      </x:c>
      <x:c r="K1181" t="str">
        <x:f>XLOOKUP(B1181,Orders!A:A,Orders!E:E,"")</x:f>
        <x:v>East</x:v>
      </x:c>
      <x:c r="L1181" t="n">
        <x:f>XLOOKUP(B1181,Orders!A:A,Orders!B:B,"")</x:f>
        <x:v>46075</x:v>
      </x:c>
      <x:c r="M1181" t="str">
        <x:f>XLOOKUP(C1181,Products!A:A,Products!C:C,"")</x:f>
        <x:v>Accessories</x:v>
      </x:c>
    </x:row>
    <x:row r="1182">
      <x:c r="A1182" s="15" t="str">
        <x:v>ITEM00480_2</x:v>
      </x:c>
      <x:c r="B1182" s="15" t="str">
        <x:v>ORD00480</x:v>
      </x:c>
      <x:c r="C1182" s="15" t="str">
        <x:v>PROD006</x:v>
      </x:c>
      <x:c r="D1182" s="15" t="n">
        <x:v>2</x:v>
      </x:c>
      <x:c r="E1182" s="15" t="n">
        <x:v>4261.26</x:v>
      </x:c>
      <x:c r="F1182" s="15" t="n">
        <x:v>0</x:v>
      </x:c>
      <x:c r="G1182" s="15" t="n">
        <x:v>8522.52</x:v>
      </x:c>
      <x:c r="H1182" s="15" t="n">
        <x:v>8522.52</x:v>
      </x:c>
      <x:c r="I1182" s="15" t="n">
        <x:v>6134</x:v>
      </x:c>
      <x:c r="J1182" s="15" t="n">
        <x:v>2388.52</x:v>
      </x:c>
      <x:c r="K1182" t="str">
        <x:f>XLOOKUP(B1182,Orders!A:A,Orders!E:E,"")</x:f>
        <x:v>East</x:v>
      </x:c>
      <x:c r="L1182" t="n">
        <x:f>XLOOKUP(B1182,Orders!A:A,Orders!B:B,"")</x:f>
        <x:v>46075</x:v>
      </x:c>
      <x:c r="M1182" t="str">
        <x:f>XLOOKUP(C1182,Products!A:A,Products!C:C,"")</x:f>
        <x:v>Office Supplies</x:v>
      </x:c>
    </x:row>
    <x:row r="1183">
      <x:c r="A1183" s="15" t="str">
        <x:v>ITEM00480_3</x:v>
      </x:c>
      <x:c r="B1183" s="15" t="str">
        <x:v>ORD00480</x:v>
      </x:c>
      <x:c r="C1183" s="15" t="str">
        <x:v>PROD001</x:v>
      </x:c>
      <x:c r="D1183" s="15" t="n">
        <x:v>1</x:v>
      </x:c>
      <x:c r="E1183" s="15" t="n">
        <x:v>8672.7</x:v>
      </x:c>
      <x:c r="F1183" s="15" t="n">
        <x:v>0.1</x:v>
      </x:c>
      <x:c r="G1183" s="15" t="n">
        <x:v>8672.7</x:v>
      </x:c>
      <x:c r="H1183" s="15" t="n">
        <x:v>7805.43</x:v>
      </x:c>
      <x:c r="I1183" s="15" t="n">
        <x:v>6163</x:v>
      </x:c>
      <x:c r="J1183" s="15" t="n">
        <x:v>1642.43</x:v>
      </x:c>
      <x:c r="K1183" t="str">
        <x:f>XLOOKUP(B1183,Orders!A:A,Orders!E:E,"")</x:f>
        <x:v>East</x:v>
      </x:c>
      <x:c r="L1183" t="n">
        <x:f>XLOOKUP(B1183,Orders!A:A,Orders!B:B,"")</x:f>
        <x:v>46075</x:v>
      </x:c>
      <x:c r="M1183" t="str">
        <x:f>XLOOKUP(C1183,Products!A:A,Products!C:C,"")</x:f>
        <x:v>Office Supplies</x:v>
      </x:c>
    </x:row>
    <x:row r="1184">
      <x:c r="A1184" s="15" t="str">
        <x:v>ITEM00481_1</x:v>
      </x:c>
      <x:c r="B1184" s="15" t="str">
        <x:v>ORD00481</x:v>
      </x:c>
      <x:c r="C1184" s="15" t="str">
        <x:v>PROD007</x:v>
      </x:c>
      <x:c r="D1184" s="15" t="n">
        <x:v>1</x:v>
      </x:c>
      <x:c r="E1184" s="15" t="n">
        <x:v>5013.07</x:v>
      </x:c>
      <x:c r="F1184" s="15" t="n">
        <x:v>0</x:v>
      </x:c>
      <x:c r="G1184" s="15" t="n">
        <x:v>5013.07</x:v>
      </x:c>
      <x:c r="H1184" s="15" t="n">
        <x:v>5013.07</x:v>
      </x:c>
      <x:c r="I1184" s="15" t="n">
        <x:v>3941</x:v>
      </x:c>
      <x:c r="J1184" s="15" t="n">
        <x:v>1072.07</x:v>
      </x:c>
      <x:c r="K1184" t="str">
        <x:f>XLOOKUP(B1184,Orders!A:A,Orders!E:E,"")</x:f>
        <x:v>West</x:v>
      </x:c>
      <x:c r="L1184" t="n">
        <x:f>XLOOKUP(B1184,Orders!A:A,Orders!B:B,"")</x:f>
        <x:v>45856</x:v>
      </x:c>
      <x:c r="M1184" t="str">
        <x:f>XLOOKUP(C1184,Products!A:A,Products!C:C,"")</x:f>
        <x:v>Electronics</x:v>
      </x:c>
    </x:row>
    <x:row r="1185">
      <x:c r="A1185" s="15" t="str">
        <x:v>ITEM00481_2</x:v>
      </x:c>
      <x:c r="B1185" s="15" t="str">
        <x:v>ORD00481</x:v>
      </x:c>
      <x:c r="C1185" s="15" t="str">
        <x:v>PROD038</x:v>
      </x:c>
      <x:c r="D1185" s="15" t="n">
        <x:v>1</x:v>
      </x:c>
      <x:c r="E1185" s="15" t="n">
        <x:v>5219.7</x:v>
      </x:c>
      <x:c r="F1185" s="15" t="n">
        <x:v>0.1</x:v>
      </x:c>
      <x:c r="G1185" s="15" t="n">
        <x:v>5219.7</x:v>
      </x:c>
      <x:c r="H1185" s="15" t="n">
        <x:v>4697.73</x:v>
      </x:c>
      <x:c r="I1185" s="15" t="n">
        <x:v>3936</x:v>
      </x:c>
      <x:c r="J1185" s="15" t="n">
        <x:v>761.73</x:v>
      </x:c>
      <x:c r="K1185" t="str">
        <x:f>XLOOKUP(B1185,Orders!A:A,Orders!E:E,"")</x:f>
        <x:v>West</x:v>
      </x:c>
      <x:c r="L1185" t="n">
        <x:f>XLOOKUP(B1185,Orders!A:A,Orders!B:B,"")</x:f>
        <x:v>45856</x:v>
      </x:c>
      <x:c r="M1185" t="str">
        <x:f>XLOOKUP(C1185,Products!A:A,Products!C:C,"")</x:f>
        <x:v>Office Supplies</x:v>
      </x:c>
    </x:row>
    <x:row r="1186">
      <x:c r="A1186" s="15" t="str">
        <x:v>ITEM00481_3</x:v>
      </x:c>
      <x:c r="B1186" s="15" t="str">
        <x:v>ORD00481</x:v>
      </x:c>
      <x:c r="C1186" s="15" t="str">
        <x:v>PROD018</x:v>
      </x:c>
      <x:c r="D1186" s="15" t="n">
        <x:v>7</x:v>
      </x:c>
      <x:c r="E1186" s="15" t="n">
        <x:v>5637.8</x:v>
      </x:c>
      <x:c r="F1186" s="15" t="n">
        <x:v>0.1</x:v>
      </x:c>
      <x:c r="G1186" s="15" t="n">
        <x:v>39464.6</x:v>
      </x:c>
      <x:c r="H1186" s="15" t="n">
        <x:v>35518.14</x:v>
      </x:c>
      <x:c r="I1186" s="15" t="n">
        <x:v>29477</x:v>
      </x:c>
      <x:c r="J1186" s="15" t="n">
        <x:v>6041.14</x:v>
      </x:c>
      <x:c r="K1186" t="str">
        <x:f>XLOOKUP(B1186,Orders!A:A,Orders!E:E,"")</x:f>
        <x:v>West</x:v>
      </x:c>
      <x:c r="L1186" t="n">
        <x:f>XLOOKUP(B1186,Orders!A:A,Orders!B:B,"")</x:f>
        <x:v>45856</x:v>
      </x:c>
      <x:c r="M1186" t="str">
        <x:f>XLOOKUP(C1186,Products!A:A,Products!C:C,"")</x:f>
        <x:v>Electronics</x:v>
      </x:c>
    </x:row>
    <x:row r="1187">
      <x:c r="A1187" s="15" t="str">
        <x:v>ITEM00481_4</x:v>
      </x:c>
      <x:c r="B1187" s="15" t="str">
        <x:v>ORD00481</x:v>
      </x:c>
      <x:c r="C1187" s="15" t="str">
        <x:v>PROD003</x:v>
      </x:c>
      <x:c r="D1187" s="15" t="n">
        <x:v>7</x:v>
      </x:c>
      <x:c r="E1187" s="15" t="n">
        <x:v>10757.89</x:v>
      </x:c>
      <x:c r="F1187" s="15" t="n">
        <x:v>0.1</x:v>
      </x:c>
      <x:c r="G1187" s="15" t="n">
        <x:v>75305.23</x:v>
      </x:c>
      <x:c r="H1187" s="15" t="n">
        <x:v>67774.71</x:v>
      </x:c>
      <x:c r="I1187" s="15" t="n">
        <x:v>51947</x:v>
      </x:c>
      <x:c r="J1187" s="15" t="n">
        <x:v>15827.71</x:v>
      </x:c>
      <x:c r="K1187" t="str">
        <x:f>XLOOKUP(B1187,Orders!A:A,Orders!E:E,"")</x:f>
        <x:v>West</x:v>
      </x:c>
      <x:c r="L1187" t="n">
        <x:f>XLOOKUP(B1187,Orders!A:A,Orders!B:B,"")</x:f>
        <x:v>45856</x:v>
      </x:c>
      <x:c r="M1187" t="str">
        <x:f>XLOOKUP(C1187,Products!A:A,Products!C:C,"")</x:f>
        <x:v>Accessories</x:v>
      </x:c>
    </x:row>
    <x:row r="1188">
      <x:c r="A1188" s="15" t="str">
        <x:v>ITEM00482_1</x:v>
      </x:c>
      <x:c r="B1188" s="15" t="str">
        <x:v>ORD00482</x:v>
      </x:c>
      <x:c r="C1188" s="15" t="str">
        <x:v>PROD040</x:v>
      </x:c>
      <x:c r="D1188" s="15" t="n">
        <x:v>1</x:v>
      </x:c>
      <x:c r="E1188" s="15" t="n">
        <x:v>8561.07</x:v>
      </x:c>
      <x:c r="F1188" s="15" t="n">
        <x:v>0</x:v>
      </x:c>
      <x:c r="G1188" s="15" t="n">
        <x:v>8561.07</x:v>
      </x:c>
      <x:c r="H1188" s="15" t="n">
        <x:v>8561.07</x:v>
      </x:c>
      <x:c r="I1188" s="15" t="n">
        <x:v>6841</x:v>
      </x:c>
      <x:c r="J1188" s="15" t="n">
        <x:v>1720.07</x:v>
      </x:c>
      <x:c r="K1188" t="str">
        <x:f>XLOOKUP(B1188,Orders!A:A,Orders!E:E,"")</x:f>
        <x:v>East</x:v>
      </x:c>
      <x:c r="L1188" t="n">
        <x:f>XLOOKUP(B1188,Orders!A:A,Orders!B:B,"")</x:f>
        <x:v>45675</x:v>
      </x:c>
      <x:c r="M1188" t="str">
        <x:f>XLOOKUP(C1188,Products!A:A,Products!C:C,"")</x:f>
        <x:v>Electronics</x:v>
      </x:c>
    </x:row>
    <x:row r="1189">
      <x:c r="A1189" s="15" t="str">
        <x:v>ITEM00482_2</x:v>
      </x:c>
      <x:c r="B1189" s="15" t="str">
        <x:v>ORD00482</x:v>
      </x:c>
      <x:c r="C1189" s="15" t="str">
        <x:v>PROD018</x:v>
      </x:c>
      <x:c r="D1189" s="15" t="n">
        <x:v>2</x:v>
      </x:c>
      <x:c r="E1189" s="15" t="n">
        <x:v>5637.8</x:v>
      </x:c>
      <x:c r="F1189" s="15" t="n">
        <x:v>0.05</x:v>
      </x:c>
      <x:c r="G1189" s="15" t="n">
        <x:v>11275.6</x:v>
      </x:c>
      <x:c r="H1189" s="15" t="n">
        <x:v>10711.82</x:v>
      </x:c>
      <x:c r="I1189" s="15" t="n">
        <x:v>8422</x:v>
      </x:c>
      <x:c r="J1189" s="15" t="n">
        <x:v>2289.82</x:v>
      </x:c>
      <x:c r="K1189" t="str">
        <x:f>XLOOKUP(B1189,Orders!A:A,Orders!E:E,"")</x:f>
        <x:v>East</x:v>
      </x:c>
      <x:c r="L1189" t="n">
        <x:f>XLOOKUP(B1189,Orders!A:A,Orders!B:B,"")</x:f>
        <x:v>45675</x:v>
      </x:c>
      <x:c r="M1189" t="str">
        <x:f>XLOOKUP(C1189,Products!A:A,Products!C:C,"")</x:f>
        <x:v>Electronics</x:v>
      </x:c>
    </x:row>
    <x:row r="1190">
      <x:c r="A1190" s="15" t="str">
        <x:v>ITEM00482_3</x:v>
      </x:c>
      <x:c r="B1190" s="15" t="str">
        <x:v>ORD00482</x:v>
      </x:c>
      <x:c r="C1190" s="15" t="str">
        <x:v>PROD002</x:v>
      </x:c>
      <x:c r="D1190" s="15" t="n">
        <x:v>7</x:v>
      </x:c>
      <x:c r="E1190" s="15" t="n">
        <x:v>4655.92</x:v>
      </x:c>
      <x:c r="F1190" s="15" t="n">
        <x:v>0.15</x:v>
      </x:c>
      <x:c r="G1190" s="15" t="n">
        <x:v>32591.44</x:v>
      </x:c>
      <x:c r="H1190" s="15" t="n">
        <x:v>27702.72</x:v>
      </x:c>
      <x:c r="I1190" s="15" t="n">
        <x:v>21931</x:v>
      </x:c>
      <x:c r="J1190" s="15" t="n">
        <x:v>5771.72</x:v>
      </x:c>
      <x:c r="K1190" t="str">
        <x:f>XLOOKUP(B1190,Orders!A:A,Orders!E:E,"")</x:f>
        <x:v>East</x:v>
      </x:c>
      <x:c r="L1190" t="n">
        <x:f>XLOOKUP(B1190,Orders!A:A,Orders!B:B,"")</x:f>
        <x:v>45675</x:v>
      </x:c>
      <x:c r="M1190" t="str">
        <x:f>XLOOKUP(C1190,Products!A:A,Products!C:C,"")</x:f>
        <x:v>Accessories</x:v>
      </x:c>
    </x:row>
    <x:row r="1191">
      <x:c r="A1191" s="15" t="str">
        <x:v>ITEM00483_1</x:v>
      </x:c>
      <x:c r="B1191" s="15" t="str">
        <x:v>ORD00483</x:v>
      </x:c>
      <x:c r="C1191" s="15" t="str">
        <x:v>PROD002</x:v>
      </x:c>
      <x:c r="D1191" s="15" t="n">
        <x:v>4</x:v>
      </x:c>
      <x:c r="E1191" s="15" t="n">
        <x:v>4655.92</x:v>
      </x:c>
      <x:c r="F1191" s="15" t="n">
        <x:v>0.05</x:v>
      </x:c>
      <x:c r="G1191" s="15" t="n">
        <x:v>18623.68</x:v>
      </x:c>
      <x:c r="H1191" s="15" t="n">
        <x:v>17692.5</x:v>
      </x:c>
      <x:c r="I1191" s="15" t="n">
        <x:v>12532</x:v>
      </x:c>
      <x:c r="J1191" s="15" t="n">
        <x:v>5160.5</x:v>
      </x:c>
      <x:c r="K1191" t="str">
        <x:f>XLOOKUP(B1191,Orders!A:A,Orders!E:E,"")</x:f>
        <x:v>North</x:v>
      </x:c>
      <x:c r="L1191" t="n">
        <x:f>XLOOKUP(B1191,Orders!A:A,Orders!B:B,"")</x:f>
        <x:v>45991</x:v>
      </x:c>
      <x:c r="M1191" t="str">
        <x:f>XLOOKUP(C1191,Products!A:A,Products!C:C,"")</x:f>
        <x:v>Accessories</x:v>
      </x:c>
    </x:row>
    <x:row r="1192">
      <x:c r="A1192" s="15" t="str">
        <x:v>ITEM00483_2</x:v>
      </x:c>
      <x:c r="B1192" s="15" t="str">
        <x:v>ORD00483</x:v>
      </x:c>
      <x:c r="C1192" s="15" t="str">
        <x:v>PROD018</x:v>
      </x:c>
      <x:c r="D1192" s="15" t="n">
        <x:v>1</x:v>
      </x:c>
      <x:c r="E1192" s="15" t="n">
        <x:v>5637.8</x:v>
      </x:c>
      <x:c r="F1192" s="15" t="n">
        <x:v>0.1</x:v>
      </x:c>
      <x:c r="G1192" s="15" t="n">
        <x:v>5637.8</x:v>
      </x:c>
      <x:c r="H1192" s="15" t="n">
        <x:v>5074.02</x:v>
      </x:c>
      <x:c r="I1192" s="15" t="n">
        <x:v>4211</x:v>
      </x:c>
      <x:c r="J1192" s="15" t="n">
        <x:v>863.02</x:v>
      </x:c>
      <x:c r="K1192" t="str">
        <x:f>XLOOKUP(B1192,Orders!A:A,Orders!E:E,"")</x:f>
        <x:v>North</x:v>
      </x:c>
      <x:c r="L1192" t="n">
        <x:f>XLOOKUP(B1192,Orders!A:A,Orders!B:B,"")</x:f>
        <x:v>45991</x:v>
      </x:c>
      <x:c r="M1192" t="str">
        <x:f>XLOOKUP(C1192,Products!A:A,Products!C:C,"")</x:f>
        <x:v>Electronics</x:v>
      </x:c>
    </x:row>
    <x:row r="1193">
      <x:c r="A1193" s="15" t="str">
        <x:v>ITEM00483_3</x:v>
      </x:c>
      <x:c r="B1193" s="15" t="str">
        <x:v>ORD00483</x:v>
      </x:c>
      <x:c r="C1193" s="15" t="str">
        <x:v>PROD001</x:v>
      </x:c>
      <x:c r="D1193" s="15" t="n">
        <x:v>2</x:v>
      </x:c>
      <x:c r="E1193" s="15" t="n">
        <x:v>8672.7</x:v>
      </x:c>
      <x:c r="F1193" s="15" t="n">
        <x:v>0</x:v>
      </x:c>
      <x:c r="G1193" s="15" t="n">
        <x:v>17345.4</x:v>
      </x:c>
      <x:c r="H1193" s="15" t="n">
        <x:v>17345.4</x:v>
      </x:c>
      <x:c r="I1193" s="15" t="n">
        <x:v>12326</x:v>
      </x:c>
      <x:c r="J1193" s="15" t="n">
        <x:v>5019.4</x:v>
      </x:c>
      <x:c r="K1193" t="str">
        <x:f>XLOOKUP(B1193,Orders!A:A,Orders!E:E,"")</x:f>
        <x:v>North</x:v>
      </x:c>
      <x:c r="L1193" t="n">
        <x:f>XLOOKUP(B1193,Orders!A:A,Orders!B:B,"")</x:f>
        <x:v>45991</x:v>
      </x:c>
      <x:c r="M1193" t="str">
        <x:f>XLOOKUP(C1193,Products!A:A,Products!C:C,"")</x:f>
        <x:v>Office Supplies</x:v>
      </x:c>
    </x:row>
    <x:row r="1194">
      <x:c r="A1194" s="15" t="str">
        <x:v>ITEM00484_1</x:v>
      </x:c>
      <x:c r="B1194" s="15" t="str">
        <x:v>ORD00484</x:v>
      </x:c>
      <x:c r="C1194" s="15" t="str">
        <x:v>PROD030</x:v>
      </x:c>
      <x:c r="D1194" s="15" t="n">
        <x:v>4</x:v>
      </x:c>
      <x:c r="E1194" s="15" t="n">
        <x:v>5180.7</x:v>
      </x:c>
      <x:c r="F1194" s="15" t="n">
        <x:v>0.15</x:v>
      </x:c>
      <x:c r="G1194" s="15" t="n">
        <x:v>20722.8</x:v>
      </x:c>
      <x:c r="H1194" s="15" t="n">
        <x:v>17614.38</x:v>
      </x:c>
      <x:c r="I1194" s="15" t="n">
        <x:v>15552</x:v>
      </x:c>
      <x:c r="J1194" s="15" t="n">
        <x:v>2062.38</x:v>
      </x:c>
      <x:c r="K1194" t="str">
        <x:f>XLOOKUP(B1194,Orders!A:A,Orders!E:E,"")</x:f>
        <x:v>East</x:v>
      </x:c>
      <x:c r="L1194" t="n">
        <x:f>XLOOKUP(B1194,Orders!A:A,Orders!B:B,"")</x:f>
        <x:v>45883</x:v>
      </x:c>
      <x:c r="M1194" t="str">
        <x:f>XLOOKUP(C1194,Products!A:A,Products!C:C,"")</x:f>
        <x:v>Office Supplies</x:v>
      </x:c>
    </x:row>
    <x:row r="1195">
      <x:c r="A1195" s="15" t="str">
        <x:v>ITEM00484_2</x:v>
      </x:c>
      <x:c r="B1195" s="15" t="str">
        <x:v>ORD00484</x:v>
      </x:c>
      <x:c r="C1195" s="15" t="str">
        <x:v>PROD010</x:v>
      </x:c>
      <x:c r="D1195" s="15" t="n">
        <x:v>8</x:v>
      </x:c>
      <x:c r="E1195" s="15" t="n">
        <x:v>8670.63</x:v>
      </x:c>
      <x:c r="F1195" s="15" t="n">
        <x:v>0.1</x:v>
      </x:c>
      <x:c r="G1195" s="15" t="n">
        <x:v>69365.04</x:v>
      </x:c>
      <x:c r="H1195" s="15" t="n">
        <x:v>62428.54</x:v>
      </x:c>
      <x:c r="I1195" s="15" t="n">
        <x:v>46824</x:v>
      </x:c>
      <x:c r="J1195" s="15" t="n">
        <x:v>15604.54</x:v>
      </x:c>
      <x:c r="K1195" t="str">
        <x:f>XLOOKUP(B1195,Orders!A:A,Orders!E:E,"")</x:f>
        <x:v>East</x:v>
      </x:c>
      <x:c r="L1195" t="n">
        <x:f>XLOOKUP(B1195,Orders!A:A,Orders!B:B,"")</x:f>
        <x:v>45883</x:v>
      </x:c>
      <x:c r="M1195" t="str">
        <x:f>XLOOKUP(C1195,Products!A:A,Products!C:C,"")</x:f>
        <x:v>Accessories</x:v>
      </x:c>
    </x:row>
    <x:row r="1196">
      <x:c r="A1196" s="15" t="str">
        <x:v>ITEM00484_3</x:v>
      </x:c>
      <x:c r="B1196" s="15" t="str">
        <x:v>ORD00484</x:v>
      </x:c>
      <x:c r="C1196" s="15" t="str">
        <x:v>PROD019</x:v>
      </x:c>
      <x:c r="D1196" s="15" t="n">
        <x:v>5</x:v>
      </x:c>
      <x:c r="E1196" s="15" t="n">
        <x:v>5996.29</x:v>
      </x:c>
      <x:c r="F1196" s="15" t="n">
        <x:v>0.15</x:v>
      </x:c>
      <x:c r="G1196" s="15" t="n">
        <x:v>29981.45</x:v>
      </x:c>
      <x:c r="H1196" s="15" t="n">
        <x:v>25484.23</x:v>
      </x:c>
      <x:c r="I1196" s="15" t="n">
        <x:v>22550</x:v>
      </x:c>
      <x:c r="J1196" s="15" t="n">
        <x:v>2934.23</x:v>
      </x:c>
      <x:c r="K1196" t="str">
        <x:f>XLOOKUP(B1196,Orders!A:A,Orders!E:E,"")</x:f>
        <x:v>East</x:v>
      </x:c>
      <x:c r="L1196" t="n">
        <x:f>XLOOKUP(B1196,Orders!A:A,Orders!B:B,"")</x:f>
        <x:v>45883</x:v>
      </x:c>
      <x:c r="M1196" t="str">
        <x:f>XLOOKUP(C1196,Products!A:A,Products!C:C,"")</x:f>
        <x:v>Electronics</x:v>
      </x:c>
    </x:row>
    <x:row r="1197">
      <x:c r="A1197" s="15" t="str">
        <x:v>ITEM00485_1</x:v>
      </x:c>
      <x:c r="B1197" s="15" t="str">
        <x:v>ORD00485</x:v>
      </x:c>
      <x:c r="C1197" s="15" t="str">
        <x:v>PROD030</x:v>
      </x:c>
      <x:c r="D1197" s="15" t="n">
        <x:v>4</x:v>
      </x:c>
      <x:c r="E1197" s="15" t="n">
        <x:v>5180.7</x:v>
      </x:c>
      <x:c r="F1197" s="15" t="n">
        <x:v>0</x:v>
      </x:c>
      <x:c r="G1197" s="15" t="n">
        <x:v>20722.8</x:v>
      </x:c>
      <x:c r="H1197" s="15" t="n">
        <x:v>20722.8</x:v>
      </x:c>
      <x:c r="I1197" s="15" t="n">
        <x:v>15552</x:v>
      </x:c>
      <x:c r="J1197" s="15" t="n">
        <x:v>5170.8</x:v>
      </x:c>
      <x:c r="K1197" t="str">
        <x:f>XLOOKUP(B1197,Orders!A:A,Orders!E:E,"")</x:f>
        <x:v>North</x:v>
      </x:c>
      <x:c r="L1197" t="n">
        <x:f>XLOOKUP(B1197,Orders!A:A,Orders!B:B,"")</x:f>
        <x:v>45858</x:v>
      </x:c>
      <x:c r="M1197" t="str">
        <x:f>XLOOKUP(C1197,Products!A:A,Products!C:C,"")</x:f>
        <x:v>Office Supplies</x:v>
      </x:c>
    </x:row>
    <x:row r="1198">
      <x:c r="A1198" s="15" t="str">
        <x:v>ITEM00485_2</x:v>
      </x:c>
      <x:c r="B1198" s="15" t="str">
        <x:v>ORD00485</x:v>
      </x:c>
      <x:c r="C1198" s="15" t="str">
        <x:v>PROD030</x:v>
      </x:c>
      <x:c r="D1198" s="15" t="n">
        <x:v>3</x:v>
      </x:c>
      <x:c r="E1198" s="15" t="n">
        <x:v>5180.7</x:v>
      </x:c>
      <x:c r="F1198" s="15" t="n">
        <x:v>0</x:v>
      </x:c>
      <x:c r="G1198" s="15" t="n">
        <x:v>15542.1</x:v>
      </x:c>
      <x:c r="H1198" s="15" t="n">
        <x:v>15542.1</x:v>
      </x:c>
      <x:c r="I1198" s="15" t="n">
        <x:v>11664</x:v>
      </x:c>
      <x:c r="J1198" s="15" t="n">
        <x:v>3878.1</x:v>
      </x:c>
      <x:c r="K1198" t="str">
        <x:f>XLOOKUP(B1198,Orders!A:A,Orders!E:E,"")</x:f>
        <x:v>North</x:v>
      </x:c>
      <x:c r="L1198" t="n">
        <x:f>XLOOKUP(B1198,Orders!A:A,Orders!B:B,"")</x:f>
        <x:v>45858</x:v>
      </x:c>
      <x:c r="M1198" t="str">
        <x:f>XLOOKUP(C1198,Products!A:A,Products!C:C,"")</x:f>
        <x:v>Office Supplies</x:v>
      </x:c>
    </x:row>
    <x:row r="1199">
      <x:c r="A1199" s="15" t="str">
        <x:v>ITEM00485_3</x:v>
      </x:c>
      <x:c r="B1199" s="15" t="str">
        <x:v>ORD00485</x:v>
      </x:c>
      <x:c r="C1199" s="15" t="str">
        <x:v>PROD028</x:v>
      </x:c>
      <x:c r="D1199" s="15" t="n">
        <x:v>7</x:v>
      </x:c>
      <x:c r="E1199" s="15" t="n">
        <x:v>4640.74</x:v>
      </x:c>
      <x:c r="F1199" s="15" t="n">
        <x:v>0</x:v>
      </x:c>
      <x:c r="G1199" s="15" t="n">
        <x:v>32485.18</x:v>
      </x:c>
      <x:c r="H1199" s="15" t="n">
        <x:v>32485.18</x:v>
      </x:c>
      <x:c r="I1199" s="15" t="n">
        <x:v>24738</x:v>
      </x:c>
      <x:c r="J1199" s="15" t="n">
        <x:v>7747.18</x:v>
      </x:c>
      <x:c r="K1199" t="str">
        <x:f>XLOOKUP(B1199,Orders!A:A,Orders!E:E,"")</x:f>
        <x:v>North</x:v>
      </x:c>
      <x:c r="L1199" t="n">
        <x:f>XLOOKUP(B1199,Orders!A:A,Orders!B:B,"")</x:f>
        <x:v>45858</x:v>
      </x:c>
      <x:c r="M1199" t="str">
        <x:f>XLOOKUP(C1199,Products!A:A,Products!C:C,"")</x:f>
        <x:v>Office Supplies</x:v>
      </x:c>
    </x:row>
    <x:row r="1200">
      <x:c r="A1200" s="15" t="str">
        <x:v>ITEM00486_1</x:v>
      </x:c>
      <x:c r="B1200" s="15" t="str">
        <x:v>ORD00486</x:v>
      </x:c>
      <x:c r="C1200" s="15" t="str">
        <x:v>PROD036</x:v>
      </x:c>
      <x:c r="D1200" s="15" t="n">
        <x:v>4</x:v>
      </x:c>
      <x:c r="E1200" s="15" t="n">
        <x:v>7158.64</x:v>
      </x:c>
      <x:c r="F1200" s="15" t="n">
        <x:v>0.15</x:v>
      </x:c>
      <x:c r="G1200" s="15" t="n">
        <x:v>28634.56</x:v>
      </x:c>
      <x:c r="H1200" s="15" t="n">
        <x:v>24339.38</x:v>
      </x:c>
      <x:c r="I1200" s="15" t="n">
        <x:v>20684</x:v>
      </x:c>
      <x:c r="J1200" s="15" t="n">
        <x:v>3655.38</x:v>
      </x:c>
      <x:c r="K1200" t="str">
        <x:f>XLOOKUP(B1200,Orders!A:A,Orders!E:E,"")</x:f>
        <x:v>North</x:v>
      </x:c>
      <x:c r="L1200" t="n">
        <x:f>XLOOKUP(B1200,Orders!A:A,Orders!B:B,"")</x:f>
        <x:v>45925</x:v>
      </x:c>
      <x:c r="M1200" t="str">
        <x:f>XLOOKUP(C1200,Products!A:A,Products!C:C,"")</x:f>
        <x:v>Accessories</x:v>
      </x:c>
    </x:row>
    <x:row r="1201">
      <x:c r="A1201" s="15" t="str">
        <x:v>ITEM00487_1</x:v>
      </x:c>
      <x:c r="B1201" s="15" t="str">
        <x:v>ORD00487</x:v>
      </x:c>
      <x:c r="C1201" s="15" t="str">
        <x:v>PROD027</x:v>
      </x:c>
      <x:c r="D1201" s="15" t="n">
        <x:v>1</x:v>
      </x:c>
      <x:c r="E1201" s="15" t="n">
        <x:v>6979.71</x:v>
      </x:c>
      <x:c r="F1201" s="15" t="n">
        <x:v>0.15</x:v>
      </x:c>
      <x:c r="G1201" s="15" t="n">
        <x:v>6979.71</x:v>
      </x:c>
      <x:c r="H1201" s="15" t="n">
        <x:v>5932.75</x:v>
      </x:c>
      <x:c r="I1201" s="15" t="n">
        <x:v>5637</x:v>
      </x:c>
      <x:c r="J1201" s="15" t="n">
        <x:v>295.75</x:v>
      </x:c>
      <x:c r="K1201" t="str">
        <x:f>XLOOKUP(B1201,Orders!A:A,Orders!E:E,"")</x:f>
        <x:v>South</x:v>
      </x:c>
      <x:c r="L1201" t="n">
        <x:f>XLOOKUP(B1201,Orders!A:A,Orders!B:B,"")</x:f>
        <x:v>45852</x:v>
      </x:c>
      <x:c r="M1201" t="str">
        <x:f>XLOOKUP(C1201,Products!A:A,Products!C:C,"")</x:f>
        <x:v>Electronics</x:v>
      </x:c>
    </x:row>
    <x:row r="1202">
      <x:c r="A1202" s="15" t="str">
        <x:v>ITEM00487_2</x:v>
      </x:c>
      <x:c r="B1202" s="15" t="str">
        <x:v>ORD00487</x:v>
      </x:c>
      <x:c r="C1202" s="15" t="str">
        <x:v>PROD006</x:v>
      </x:c>
      <x:c r="D1202" s="15" t="n">
        <x:v>8</x:v>
      </x:c>
      <x:c r="E1202" s="15" t="n">
        <x:v>4261.26</x:v>
      </x:c>
      <x:c r="F1202" s="15" t="n">
        <x:v>0.15</x:v>
      </x:c>
      <x:c r="G1202" s="15" t="n">
        <x:v>34090.08</x:v>
      </x:c>
      <x:c r="H1202" s="15" t="n">
        <x:v>28976.57</x:v>
      </x:c>
      <x:c r="I1202" s="15" t="n">
        <x:v>24536</x:v>
      </x:c>
      <x:c r="J1202" s="15" t="n">
        <x:v>4440.57</x:v>
      </x:c>
      <x:c r="K1202" t="str">
        <x:f>XLOOKUP(B1202,Orders!A:A,Orders!E:E,"")</x:f>
        <x:v>South</x:v>
      </x:c>
      <x:c r="L1202" t="n">
        <x:f>XLOOKUP(B1202,Orders!A:A,Orders!B:B,"")</x:f>
        <x:v>45852</x:v>
      </x:c>
      <x:c r="M1202" t="str">
        <x:f>XLOOKUP(C1202,Products!A:A,Products!C:C,"")</x:f>
        <x:v>Office Supplies</x:v>
      </x:c>
    </x:row>
    <x:row r="1203">
      <x:c r="A1203" s="15" t="str">
        <x:v>ITEM00488_1</x:v>
      </x:c>
      <x:c r="B1203" s="15" t="str">
        <x:v>ORD00488</x:v>
      </x:c>
      <x:c r="C1203" s="15" t="str">
        <x:v>PROD028</x:v>
      </x:c>
      <x:c r="D1203" s="15" t="n">
        <x:v>1</x:v>
      </x:c>
      <x:c r="E1203" s="15" t="n">
        <x:v>4640.74</x:v>
      </x:c>
      <x:c r="F1203" s="15" t="n">
        <x:v>0.1</x:v>
      </x:c>
      <x:c r="G1203" s="15" t="n">
        <x:v>4640.74</x:v>
      </x:c>
      <x:c r="H1203" s="15" t="n">
        <x:v>4176.67</x:v>
      </x:c>
      <x:c r="I1203" s="15" t="n">
        <x:v>3534</x:v>
      </x:c>
      <x:c r="J1203" s="15" t="n">
        <x:v>642.67</x:v>
      </x:c>
      <x:c r="K1203" t="str">
        <x:f>XLOOKUP(B1203,Orders!A:A,Orders!E:E,"")</x:f>
        <x:v>North</x:v>
      </x:c>
      <x:c r="L1203" t="n">
        <x:f>XLOOKUP(B1203,Orders!A:A,Orders!B:B,"")</x:f>
        <x:v>45875</x:v>
      </x:c>
      <x:c r="M1203" t="str">
        <x:f>XLOOKUP(C1203,Products!A:A,Products!C:C,"")</x:f>
        <x:v>Office Supplies</x:v>
      </x:c>
    </x:row>
    <x:row r="1204">
      <x:c r="A1204" s="15" t="str">
        <x:v>ITEM00488_2</x:v>
      </x:c>
      <x:c r="B1204" s="15" t="str">
        <x:v>ORD00488</x:v>
      </x:c>
      <x:c r="C1204" s="15" t="str">
        <x:v>PROD004</x:v>
      </x:c>
      <x:c r="D1204" s="15" t="n">
        <x:v>5</x:v>
      </x:c>
      <x:c r="E1204" s="15" t="n">
        <x:v>5435.39</x:v>
      </x:c>
      <x:c r="F1204" s="15" t="n">
        <x:v>0.05</x:v>
      </x:c>
      <x:c r="G1204" s="15" t="n">
        <x:v>27176.95</x:v>
      </x:c>
      <x:c r="H1204" s="15" t="n">
        <x:v>25818.1</x:v>
      </x:c>
      <x:c r="I1204" s="15" t="n">
        <x:v>20705</x:v>
      </x:c>
      <x:c r="J1204" s="15" t="n">
        <x:v>5113.1</x:v>
      </x:c>
      <x:c r="K1204" t="str">
        <x:f>XLOOKUP(B1204,Orders!A:A,Orders!E:E,"")</x:f>
        <x:v>North</x:v>
      </x:c>
      <x:c r="L1204" t="n">
        <x:f>XLOOKUP(B1204,Orders!A:A,Orders!B:B,"")</x:f>
        <x:v>45875</x:v>
      </x:c>
      <x:c r="M1204" t="str">
        <x:f>XLOOKUP(C1204,Products!A:A,Products!C:C,"")</x:f>
        <x:v>Office Supplies</x:v>
      </x:c>
    </x:row>
    <x:row r="1205">
      <x:c r="A1205" s="15" t="str">
        <x:v>ITEM00488_3</x:v>
      </x:c>
      <x:c r="B1205" s="15" t="str">
        <x:v>ORD00488</x:v>
      </x:c>
      <x:c r="C1205" s="15" t="str">
        <x:v>PROD040</x:v>
      </x:c>
      <x:c r="D1205" s="15" t="n">
        <x:v>7</x:v>
      </x:c>
      <x:c r="E1205" s="15" t="n">
        <x:v>8561.07</x:v>
      </x:c>
      <x:c r="F1205" s="15" t="n">
        <x:v>0.1</x:v>
      </x:c>
      <x:c r="G1205" s="15" t="n">
        <x:v>59927.49</x:v>
      </x:c>
      <x:c r="H1205" s="15" t="n">
        <x:v>53934.74</x:v>
      </x:c>
      <x:c r="I1205" s="15" t="n">
        <x:v>47887</x:v>
      </x:c>
      <x:c r="J1205" s="15" t="n">
        <x:v>6047.74</x:v>
      </x:c>
      <x:c r="K1205" t="str">
        <x:f>XLOOKUP(B1205,Orders!A:A,Orders!E:E,"")</x:f>
        <x:v>North</x:v>
      </x:c>
      <x:c r="L1205" t="n">
        <x:f>XLOOKUP(B1205,Orders!A:A,Orders!B:B,"")</x:f>
        <x:v>45875</x:v>
      </x:c>
      <x:c r="M1205" t="str">
        <x:f>XLOOKUP(C1205,Products!A:A,Products!C:C,"")</x:f>
        <x:v>Electronics</x:v>
      </x:c>
    </x:row>
    <x:row r="1206">
      <x:c r="A1206" s="15" t="str">
        <x:v>ITEM00488_4</x:v>
      </x:c>
      <x:c r="B1206" s="15" t="str">
        <x:v>ORD00488</x:v>
      </x:c>
      <x:c r="C1206" s="15" t="str">
        <x:v>PROD011</x:v>
      </x:c>
      <x:c r="D1206" s="15" t="n">
        <x:v>3</x:v>
      </x:c>
      <x:c r="E1206" s="15" t="n">
        <x:v>7135.27</x:v>
      </x:c>
      <x:c r="F1206" s="15" t="n">
        <x:v>0</x:v>
      </x:c>
      <x:c r="G1206" s="15" t="n">
        <x:v>21405.81</x:v>
      </x:c>
      <x:c r="H1206" s="15" t="n">
        <x:v>21405.81</x:v>
      </x:c>
      <x:c r="I1206" s="15" t="n">
        <x:v>15609</x:v>
      </x:c>
      <x:c r="J1206" s="15" t="n">
        <x:v>5796.81</x:v>
      </x:c>
      <x:c r="K1206" t="str">
        <x:f>XLOOKUP(B1206,Orders!A:A,Orders!E:E,"")</x:f>
        <x:v>North</x:v>
      </x:c>
      <x:c r="L1206" t="n">
        <x:f>XLOOKUP(B1206,Orders!A:A,Orders!B:B,"")</x:f>
        <x:v>45875</x:v>
      </x:c>
      <x:c r="M1206" t="str">
        <x:f>XLOOKUP(C1206,Products!A:A,Products!C:C,"")</x:f>
        <x:v>Accessories</x:v>
      </x:c>
    </x:row>
    <x:row r="1207">
      <x:c r="A1207" s="15" t="str">
        <x:v>ITEM00489_1</x:v>
      </x:c>
      <x:c r="B1207" s="15" t="str">
        <x:v>ORD00489</x:v>
      </x:c>
      <x:c r="C1207" s="15" t="str">
        <x:v>PROD011</x:v>
      </x:c>
      <x:c r="D1207" s="15" t="n">
        <x:v>3</x:v>
      </x:c>
      <x:c r="E1207" s="15" t="n">
        <x:v>7135.27</x:v>
      </x:c>
      <x:c r="F1207" s="15" t="n">
        <x:v>0.1</x:v>
      </x:c>
      <x:c r="G1207" s="15" t="n">
        <x:v>21405.81</x:v>
      </x:c>
      <x:c r="H1207" s="15" t="n">
        <x:v>19265.23</x:v>
      </x:c>
      <x:c r="I1207" s="15" t="n">
        <x:v>15609</x:v>
      </x:c>
      <x:c r="J1207" s="15" t="n">
        <x:v>3656.23</x:v>
      </x:c>
      <x:c r="K1207" t="str">
        <x:f>XLOOKUP(B1207,Orders!A:A,Orders!E:E,"")</x:f>
        <x:v>West</x:v>
      </x:c>
      <x:c r="L1207" t="n">
        <x:f>XLOOKUP(B1207,Orders!A:A,Orders!B:B,"")</x:f>
        <x:v>45843</x:v>
      </x:c>
      <x:c r="M1207" t="str">
        <x:f>XLOOKUP(C1207,Products!A:A,Products!C:C,"")</x:f>
        <x:v>Accessories</x:v>
      </x:c>
    </x:row>
    <x:row r="1208">
      <x:c r="A1208" s="15" t="str">
        <x:v>ITEM00489_2</x:v>
      </x:c>
      <x:c r="B1208" s="15" t="str">
        <x:v>ORD00489</x:v>
      </x:c>
      <x:c r="C1208" s="15" t="str">
        <x:v>PROD015</x:v>
      </x:c>
      <x:c r="D1208" s="15" t="n">
        <x:v>5</x:v>
      </x:c>
      <x:c r="E1208" s="15" t="n">
        <x:v>5903.1</x:v>
      </x:c>
      <x:c r="F1208" s="15" t="n">
        <x:v>0.05</x:v>
      </x:c>
      <x:c r="G1208" s="15" t="n">
        <x:v>29515.5</x:v>
      </x:c>
      <x:c r="H1208" s="15" t="n">
        <x:v>28039.72</x:v>
      </x:c>
      <x:c r="I1208" s="15" t="n">
        <x:v>23925</x:v>
      </x:c>
      <x:c r="J1208" s="15" t="n">
        <x:v>4114.72</x:v>
      </x:c>
      <x:c r="K1208" t="str">
        <x:f>XLOOKUP(B1208,Orders!A:A,Orders!E:E,"")</x:f>
        <x:v>West</x:v>
      </x:c>
      <x:c r="L1208" t="n">
        <x:f>XLOOKUP(B1208,Orders!A:A,Orders!B:B,"")</x:f>
        <x:v>45843</x:v>
      </x:c>
      <x:c r="M1208" t="str">
        <x:f>XLOOKUP(C1208,Products!A:A,Products!C:C,"")</x:f>
        <x:v>Electronics</x:v>
      </x:c>
    </x:row>
    <x:row r="1209">
      <x:c r="A1209" s="15" t="str">
        <x:v>ITEM00489_3</x:v>
      </x:c>
      <x:c r="B1209" s="15" t="str">
        <x:v>ORD00489</x:v>
      </x:c>
      <x:c r="C1209" s="15" t="str">
        <x:v>PROD019</x:v>
      </x:c>
      <x:c r="D1209" s="15" t="n">
        <x:v>3</x:v>
      </x:c>
      <x:c r="E1209" s="15" t="n">
        <x:v>5996.29</x:v>
      </x:c>
      <x:c r="F1209" s="15" t="n">
        <x:v>0.1</x:v>
      </x:c>
      <x:c r="G1209" s="15" t="n">
        <x:v>17988.87</x:v>
      </x:c>
      <x:c r="H1209" s="15" t="n">
        <x:v>16189.98</x:v>
      </x:c>
      <x:c r="I1209" s="15" t="n">
        <x:v>13530</x:v>
      </x:c>
      <x:c r="J1209" s="15" t="n">
        <x:v>2659.98</x:v>
      </x:c>
      <x:c r="K1209" t="str">
        <x:f>XLOOKUP(B1209,Orders!A:A,Orders!E:E,"")</x:f>
        <x:v>West</x:v>
      </x:c>
      <x:c r="L1209" t="n">
        <x:f>XLOOKUP(B1209,Orders!A:A,Orders!B:B,"")</x:f>
        <x:v>45843</x:v>
      </x:c>
      <x:c r="M1209" t="str">
        <x:f>XLOOKUP(C1209,Products!A:A,Products!C:C,"")</x:f>
        <x:v>Electronics</x:v>
      </x:c>
    </x:row>
    <x:row r="1210">
      <x:c r="A1210" s="15" t="str">
        <x:v>ITEM00490_1</x:v>
      </x:c>
      <x:c r="B1210" s="15" t="str">
        <x:v>ORD00490</x:v>
      </x:c>
      <x:c r="C1210" s="15" t="str">
        <x:v>PROD019</x:v>
      </x:c>
      <x:c r="D1210" s="15" t="n">
        <x:v>6</x:v>
      </x:c>
      <x:c r="E1210" s="15" t="n">
        <x:v>5996.29</x:v>
      </x:c>
      <x:c r="F1210" s="15" t="n">
        <x:v>0.05</x:v>
      </x:c>
      <x:c r="G1210" s="15" t="n">
        <x:v>35977.74</x:v>
      </x:c>
      <x:c r="H1210" s="15" t="n">
        <x:v>34178.85</x:v>
      </x:c>
      <x:c r="I1210" s="15" t="n">
        <x:v>27060</x:v>
      </x:c>
      <x:c r="J1210" s="15" t="n">
        <x:v>7118.85</x:v>
      </x:c>
      <x:c r="K1210" t="str">
        <x:f>XLOOKUP(B1210,Orders!A:A,Orders!E:E,"")</x:f>
        <x:v>West</x:v>
      </x:c>
      <x:c r="L1210" t="n">
        <x:f>XLOOKUP(B1210,Orders!A:A,Orders!B:B,"")</x:f>
        <x:v>45904</x:v>
      </x:c>
      <x:c r="M1210" t="str">
        <x:f>XLOOKUP(C1210,Products!A:A,Products!C:C,"")</x:f>
        <x:v>Electronics</x:v>
      </x:c>
    </x:row>
    <x:row r="1211">
      <x:c r="A1211" s="15" t="str">
        <x:v>ITEM00490_2</x:v>
      </x:c>
      <x:c r="B1211" s="15" t="str">
        <x:v>ORD00490</x:v>
      </x:c>
      <x:c r="C1211" s="15" t="str">
        <x:v>PROD017</x:v>
      </x:c>
      <x:c r="D1211" s="15" t="n">
        <x:v>6</x:v>
      </x:c>
      <x:c r="E1211" s="15" t="n">
        <x:v>7311.62</x:v>
      </x:c>
      <x:c r="F1211" s="15" t="n">
        <x:v>0</x:v>
      </x:c>
      <x:c r="G1211" s="15" t="n">
        <x:v>43869.72</x:v>
      </x:c>
      <x:c r="H1211" s="15" t="n">
        <x:v>43869.72</x:v>
      </x:c>
      <x:c r="I1211" s="15" t="n">
        <x:v>31548</x:v>
      </x:c>
      <x:c r="J1211" s="15" t="n">
        <x:v>12321.72</x:v>
      </x:c>
      <x:c r="K1211" t="str">
        <x:f>XLOOKUP(B1211,Orders!A:A,Orders!E:E,"")</x:f>
        <x:v>West</x:v>
      </x:c>
      <x:c r="L1211" t="n">
        <x:f>XLOOKUP(B1211,Orders!A:A,Orders!B:B,"")</x:f>
        <x:v>45904</x:v>
      </x:c>
      <x:c r="M1211" t="str">
        <x:f>XLOOKUP(C1211,Products!A:A,Products!C:C,"")</x:f>
        <x:v>Accessories</x:v>
      </x:c>
    </x:row>
    <x:row r="1212">
      <x:c r="A1212" s="15" t="str">
        <x:v>ITEM00491_1</x:v>
      </x:c>
      <x:c r="B1212" s="15" t="str">
        <x:v>ORD00491</x:v>
      </x:c>
      <x:c r="C1212" s="15" t="str">
        <x:v>PROD015</x:v>
      </x:c>
      <x:c r="D1212" s="15" t="n">
        <x:v>8</x:v>
      </x:c>
      <x:c r="E1212" s="15" t="n">
        <x:v>5903.1</x:v>
      </x:c>
      <x:c r="F1212" s="15" t="n">
        <x:v>0</x:v>
      </x:c>
      <x:c r="G1212" s="15" t="n">
        <x:v>47224.8</x:v>
      </x:c>
      <x:c r="H1212" s="15" t="n">
        <x:v>47224.8</x:v>
      </x:c>
      <x:c r="I1212" s="15" t="n">
        <x:v>38280</x:v>
      </x:c>
      <x:c r="J1212" s="15" t="n">
        <x:v>8944.8</x:v>
      </x:c>
      <x:c r="K1212" t="str">
        <x:f>XLOOKUP(B1212,Orders!A:A,Orders!E:E,"")</x:f>
        <x:v>West</x:v>
      </x:c>
      <x:c r="L1212" t="n">
        <x:f>XLOOKUP(B1212,Orders!A:A,Orders!B:B,"")</x:f>
        <x:v>45745</x:v>
      </x:c>
      <x:c r="M1212" t="str">
        <x:f>XLOOKUP(C1212,Products!A:A,Products!C:C,"")</x:f>
        <x:v>Electronics</x:v>
      </x:c>
    </x:row>
    <x:row r="1213">
      <x:c r="A1213" s="15" t="str">
        <x:v>ITEM00492_1</x:v>
      </x:c>
      <x:c r="B1213" s="15" t="str">
        <x:v>ORD00492</x:v>
      </x:c>
      <x:c r="C1213" s="15" t="str">
        <x:v>PROD009</x:v>
      </x:c>
      <x:c r="D1213" s="15" t="n">
        <x:v>1</x:v>
      </x:c>
      <x:c r="E1213" s="15" t="n">
        <x:v>4722.96</x:v>
      </x:c>
      <x:c r="F1213" s="15" t="n">
        <x:v>0.15</x:v>
      </x:c>
      <x:c r="G1213" s="15" t="n">
        <x:v>4722.96</x:v>
      </x:c>
      <x:c r="H1213" s="15" t="n">
        <x:v>4014.52</x:v>
      </x:c>
      <x:c r="I1213" s="15" t="n">
        <x:v>3213</x:v>
      </x:c>
      <x:c r="J1213" s="15" t="n">
        <x:v>801.52</x:v>
      </x:c>
      <x:c r="K1213" t="str">
        <x:f>XLOOKUP(B1213,Orders!A:A,Orders!E:E,"")</x:f>
        <x:v>South</x:v>
      </x:c>
      <x:c r="L1213" t="n">
        <x:f>XLOOKUP(B1213,Orders!A:A,Orders!B:B,"")</x:f>
        <x:v>45899</x:v>
      </x:c>
      <x:c r="M1213" t="str">
        <x:f>XLOOKUP(C1213,Products!A:A,Products!C:C,"")</x:f>
        <x:v>Accessories</x:v>
      </x:c>
    </x:row>
    <x:row r="1214">
      <x:c r="A1214" s="15" t="str">
        <x:v>ITEM00492_2</x:v>
      </x:c>
      <x:c r="B1214" s="15" t="str">
        <x:v>ORD00492</x:v>
      </x:c>
      <x:c r="C1214" s="15" t="str">
        <x:v>PROD010</x:v>
      </x:c>
      <x:c r="D1214" s="15" t="n">
        <x:v>3</x:v>
      </x:c>
      <x:c r="E1214" s="15" t="n">
        <x:v>8670.63</x:v>
      </x:c>
      <x:c r="F1214" s="15" t="n">
        <x:v>0.05</x:v>
      </x:c>
      <x:c r="G1214" s="15" t="n">
        <x:v>26011.89</x:v>
      </x:c>
      <x:c r="H1214" s="15" t="n">
        <x:v>24711.3</x:v>
      </x:c>
      <x:c r="I1214" s="15" t="n">
        <x:v>17559</x:v>
      </x:c>
      <x:c r="J1214" s="15" t="n">
        <x:v>7152.3</x:v>
      </x:c>
      <x:c r="K1214" t="str">
        <x:f>XLOOKUP(B1214,Orders!A:A,Orders!E:E,"")</x:f>
        <x:v>South</x:v>
      </x:c>
      <x:c r="L1214" t="n">
        <x:f>XLOOKUP(B1214,Orders!A:A,Orders!B:B,"")</x:f>
        <x:v>45899</x:v>
      </x:c>
      <x:c r="M1214" t="str">
        <x:f>XLOOKUP(C1214,Products!A:A,Products!C:C,"")</x:f>
        <x:v>Accessories</x:v>
      </x:c>
    </x:row>
    <x:row r="1215">
      <x:c r="A1215" s="15" t="str">
        <x:v>ITEM00492_3</x:v>
      </x:c>
      <x:c r="B1215" s="15" t="str">
        <x:v>ORD00492</x:v>
      </x:c>
      <x:c r="C1215" s="15" t="str">
        <x:v>PROD008</x:v>
      </x:c>
      <x:c r="D1215" s="15" t="n">
        <x:v>6</x:v>
      </x:c>
      <x:c r="E1215" s="15" t="n">
        <x:v>8534.48</x:v>
      </x:c>
      <x:c r="F1215" s="15" t="n">
        <x:v>0</x:v>
      </x:c>
      <x:c r="G1215" s="15" t="n">
        <x:v>51206.88</x:v>
      </x:c>
      <x:c r="H1215" s="15" t="n">
        <x:v>51206.88</x:v>
      </x:c>
      <x:c r="I1215" s="15" t="n">
        <x:v>37182</x:v>
      </x:c>
      <x:c r="J1215" s="15" t="n">
        <x:v>14024.88</x:v>
      </x:c>
      <x:c r="K1215" t="str">
        <x:f>XLOOKUP(B1215,Orders!A:A,Orders!E:E,"")</x:f>
        <x:v>South</x:v>
      </x:c>
      <x:c r="L1215" t="n">
        <x:f>XLOOKUP(B1215,Orders!A:A,Orders!B:B,"")</x:f>
        <x:v>45899</x:v>
      </x:c>
      <x:c r="M1215" t="str">
        <x:f>XLOOKUP(C1215,Products!A:A,Products!C:C,"")</x:f>
        <x:v>Office Supplies</x:v>
      </x:c>
    </x:row>
    <x:row r="1216">
      <x:c r="A1216" s="15" t="str">
        <x:v>ITEM00492_4</x:v>
      </x:c>
      <x:c r="B1216" s="15" t="str">
        <x:v>ORD00492</x:v>
      </x:c>
      <x:c r="C1216" s="15" t="str">
        <x:v>PROD036</x:v>
      </x:c>
      <x:c r="D1216" s="15" t="n">
        <x:v>4</x:v>
      </x:c>
      <x:c r="E1216" s="15" t="n">
        <x:v>7158.64</x:v>
      </x:c>
      <x:c r="F1216" s="15" t="n">
        <x:v>0.1</x:v>
      </x:c>
      <x:c r="G1216" s="15" t="n">
        <x:v>28634.56</x:v>
      </x:c>
      <x:c r="H1216" s="15" t="n">
        <x:v>25771.1</x:v>
      </x:c>
      <x:c r="I1216" s="15" t="n">
        <x:v>20684</x:v>
      </x:c>
      <x:c r="J1216" s="15" t="n">
        <x:v>5087.1</x:v>
      </x:c>
      <x:c r="K1216" t="str">
        <x:f>XLOOKUP(B1216,Orders!A:A,Orders!E:E,"")</x:f>
        <x:v>South</x:v>
      </x:c>
      <x:c r="L1216" t="n">
        <x:f>XLOOKUP(B1216,Orders!A:A,Orders!B:B,"")</x:f>
        <x:v>45899</x:v>
      </x:c>
      <x:c r="M1216" t="str">
        <x:f>XLOOKUP(C1216,Products!A:A,Products!C:C,"")</x:f>
        <x:v>Accessories</x:v>
      </x:c>
    </x:row>
    <x:row r="1217">
      <x:c r="A1217" s="15" t="str">
        <x:v>ITEM00493_1</x:v>
      </x:c>
      <x:c r="B1217" s="15" t="str">
        <x:v>ORD00493</x:v>
      </x:c>
      <x:c r="C1217" s="15" t="str">
        <x:v>PROD020</x:v>
      </x:c>
      <x:c r="D1217" s="15" t="n">
        <x:v>7</x:v>
      </x:c>
      <x:c r="E1217" s="15" t="n">
        <x:v>6564.04</x:v>
      </x:c>
      <x:c r="F1217" s="15" t="n">
        <x:v>0</x:v>
      </x:c>
      <x:c r="G1217" s="15" t="n">
        <x:v>45948.28</x:v>
      </x:c>
      <x:c r="H1217" s="15" t="n">
        <x:v>45948.28</x:v>
      </x:c>
      <x:c r="I1217" s="15" t="n">
        <x:v>32095</x:v>
      </x:c>
      <x:c r="J1217" s="15" t="n">
        <x:v>13853.28</x:v>
      </x:c>
      <x:c r="K1217" t="str">
        <x:f>XLOOKUP(B1217,Orders!A:A,Orders!E:E,"")</x:f>
        <x:v>South</x:v>
      </x:c>
      <x:c r="L1217" t="n">
        <x:f>XLOOKUP(B1217,Orders!A:A,Orders!B:B,"")</x:f>
        <x:v>46120</x:v>
      </x:c>
      <x:c r="M1217" t="str">
        <x:f>XLOOKUP(C1217,Products!A:A,Products!C:C,"")</x:f>
        <x:v>Accessories</x:v>
      </x:c>
    </x:row>
    <x:row r="1218">
      <x:c r="A1218" s="15" t="str">
        <x:v>ITEM00493_2</x:v>
      </x:c>
      <x:c r="B1218" s="15" t="str">
        <x:v>ORD00493</x:v>
      </x:c>
      <x:c r="C1218" s="15" t="str">
        <x:v>PROD030</x:v>
      </x:c>
      <x:c r="D1218" s="15" t="n">
        <x:v>7</x:v>
      </x:c>
      <x:c r="E1218" s="15" t="n">
        <x:v>5180.7</x:v>
      </x:c>
      <x:c r="F1218" s="15" t="n">
        <x:v>0.1</x:v>
      </x:c>
      <x:c r="G1218" s="15" t="n">
        <x:v>36264.9</x:v>
      </x:c>
      <x:c r="H1218" s="15" t="n">
        <x:v>32638.41</x:v>
      </x:c>
      <x:c r="I1218" s="15" t="n">
        <x:v>27216</x:v>
      </x:c>
      <x:c r="J1218" s="15" t="n">
        <x:v>5422.41</x:v>
      </x:c>
      <x:c r="K1218" t="str">
        <x:f>XLOOKUP(B1218,Orders!A:A,Orders!E:E,"")</x:f>
        <x:v>South</x:v>
      </x:c>
      <x:c r="L1218" t="n">
        <x:f>XLOOKUP(B1218,Orders!A:A,Orders!B:B,"")</x:f>
        <x:v>46120</x:v>
      </x:c>
      <x:c r="M1218" t="str">
        <x:f>XLOOKUP(C1218,Products!A:A,Products!C:C,"")</x:f>
        <x:v>Office Supplies</x:v>
      </x:c>
    </x:row>
    <x:row r="1219">
      <x:c r="A1219" s="15" t="str">
        <x:v>ITEM00493_3</x:v>
      </x:c>
      <x:c r="B1219" s="15" t="str">
        <x:v>ORD00493</x:v>
      </x:c>
      <x:c r="C1219" s="15" t="str">
        <x:v>PROD035</x:v>
      </x:c>
      <x:c r="D1219" s="15" t="n">
        <x:v>6</x:v>
      </x:c>
      <x:c r="E1219" s="15" t="n">
        <x:v>3972.26</x:v>
      </x:c>
      <x:c r="F1219" s="15" t="n">
        <x:v>0.15</x:v>
      </x:c>
      <x:c r="G1219" s="15" t="n">
        <x:v>23833.56</x:v>
      </x:c>
      <x:c r="H1219" s="15" t="n">
        <x:v>20258.53</x:v>
      </x:c>
      <x:c r="I1219" s="15" t="n">
        <x:v>19122</x:v>
      </x:c>
      <x:c r="J1219" s="15" t="n">
        <x:v>1136.53</x:v>
      </x:c>
      <x:c r="K1219" t="str">
        <x:f>XLOOKUP(B1219,Orders!A:A,Orders!E:E,"")</x:f>
        <x:v>South</x:v>
      </x:c>
      <x:c r="L1219" t="n">
        <x:f>XLOOKUP(B1219,Orders!A:A,Orders!B:B,"")</x:f>
        <x:v>46120</x:v>
      </x:c>
      <x:c r="M1219" t="str">
        <x:f>XLOOKUP(C1219,Products!A:A,Products!C:C,"")</x:f>
        <x:v>Electronics</x:v>
      </x:c>
    </x:row>
    <x:row r="1220">
      <x:c r="A1220" s="15" t="str">
        <x:v>ITEM00493_4</x:v>
      </x:c>
      <x:c r="B1220" s="15" t="str">
        <x:v>ORD00493</x:v>
      </x:c>
      <x:c r="C1220" s="15" t="str">
        <x:v>PROD028</x:v>
      </x:c>
      <x:c r="D1220" s="15" t="n">
        <x:v>4</x:v>
      </x:c>
      <x:c r="E1220" s="15" t="n">
        <x:v>4640.74</x:v>
      </x:c>
      <x:c r="F1220" s="15" t="n">
        <x:v>0</x:v>
      </x:c>
      <x:c r="G1220" s="15" t="n">
        <x:v>18562.96</x:v>
      </x:c>
      <x:c r="H1220" s="15" t="n">
        <x:v>18562.96</x:v>
      </x:c>
      <x:c r="I1220" s="15" t="n">
        <x:v>14136</x:v>
      </x:c>
      <x:c r="J1220" s="15" t="n">
        <x:v>4426.96</x:v>
      </x:c>
      <x:c r="K1220" t="str">
        <x:f>XLOOKUP(B1220,Orders!A:A,Orders!E:E,"")</x:f>
        <x:v>South</x:v>
      </x:c>
      <x:c r="L1220" t="n">
        <x:f>XLOOKUP(B1220,Orders!A:A,Orders!B:B,"")</x:f>
        <x:v>46120</x:v>
      </x:c>
      <x:c r="M1220" t="str">
        <x:f>XLOOKUP(C1220,Products!A:A,Products!C:C,"")</x:f>
        <x:v>Office Supplies</x:v>
      </x:c>
    </x:row>
    <x:row r="1221">
      <x:c r="A1221" s="15" t="str">
        <x:v>ITEM00494_1</x:v>
      </x:c>
      <x:c r="B1221" s="15" t="str">
        <x:v>ORD00494</x:v>
      </x:c>
      <x:c r="C1221" s="15" t="str">
        <x:v>PROD032</x:v>
      </x:c>
      <x:c r="D1221" s="15" t="n">
        <x:v>6</x:v>
      </x:c>
      <x:c r="E1221" s="15" t="n">
        <x:v>6307.06</x:v>
      </x:c>
      <x:c r="F1221" s="15" t="n">
        <x:v>0</x:v>
      </x:c>
      <x:c r="G1221" s="15" t="n">
        <x:v>37842.36</x:v>
      </x:c>
      <x:c r="H1221" s="15" t="n">
        <x:v>37842.36</x:v>
      </x:c>
      <x:c r="I1221" s="15" t="n">
        <x:v>30462</x:v>
      </x:c>
      <x:c r="J1221" s="15" t="n">
        <x:v>7380.36</x:v>
      </x:c>
      <x:c r="K1221" t="str">
        <x:f>XLOOKUP(B1221,Orders!A:A,Orders!E:E,"")</x:f>
        <x:v>West</x:v>
      </x:c>
      <x:c r="L1221" t="n">
        <x:f>XLOOKUP(B1221,Orders!A:A,Orders!B:B,"")</x:f>
        <x:v>45698</x:v>
      </x:c>
      <x:c r="M1221" t="str">
        <x:f>XLOOKUP(C1221,Products!A:A,Products!C:C,"")</x:f>
        <x:v>Electronics</x:v>
      </x:c>
    </x:row>
    <x:row r="1222">
      <x:c r="A1222" s="15" t="str">
        <x:v>ITEM00494_2</x:v>
      </x:c>
      <x:c r="B1222" s="15" t="str">
        <x:v>ORD00494</x:v>
      </x:c>
      <x:c r="C1222" s="15" t="str">
        <x:v>PROD038</x:v>
      </x:c>
      <x:c r="D1222" s="15" t="n">
        <x:v>1</x:v>
      </x:c>
      <x:c r="E1222" s="15" t="n">
        <x:v>5219.7</x:v>
      </x:c>
      <x:c r="F1222" s="15" t="n">
        <x:v>0.05</x:v>
      </x:c>
      <x:c r="G1222" s="15" t="n">
        <x:v>5219.7</x:v>
      </x:c>
      <x:c r="H1222" s="15" t="n">
        <x:v>4958.71</x:v>
      </x:c>
      <x:c r="I1222" s="15" t="n">
        <x:v>3936</x:v>
      </x:c>
      <x:c r="J1222" s="15" t="n">
        <x:v>1022.71</x:v>
      </x:c>
      <x:c r="K1222" t="str">
        <x:f>XLOOKUP(B1222,Orders!A:A,Orders!E:E,"")</x:f>
        <x:v>West</x:v>
      </x:c>
      <x:c r="L1222" t="n">
        <x:f>XLOOKUP(B1222,Orders!A:A,Orders!B:B,"")</x:f>
        <x:v>45698</x:v>
      </x:c>
      <x:c r="M1222" t="str">
        <x:f>XLOOKUP(C1222,Products!A:A,Products!C:C,"")</x:f>
        <x:v>Office Supplies</x:v>
      </x:c>
    </x:row>
    <x:row r="1223">
      <x:c r="A1223" s="15" t="str">
        <x:v>ITEM00494_3</x:v>
      </x:c>
      <x:c r="B1223" s="15" t="str">
        <x:v>ORD00494</x:v>
      </x:c>
      <x:c r="C1223" s="15" t="str">
        <x:v>PROD012</x:v>
      </x:c>
      <x:c r="D1223" s="15" t="n">
        <x:v>2</x:v>
      </x:c>
      <x:c r="E1223" s="15" t="n">
        <x:v>7989.38</x:v>
      </x:c>
      <x:c r="F1223" s="15" t="n">
        <x:v>0</x:v>
      </x:c>
      <x:c r="G1223" s="15" t="n">
        <x:v>15978.76</x:v>
      </x:c>
      <x:c r="H1223" s="15" t="n">
        <x:v>15978.76</x:v>
      </x:c>
      <x:c r="I1223" s="15" t="n">
        <x:v>12970</x:v>
      </x:c>
      <x:c r="J1223" s="15" t="n">
        <x:v>3008.76</x:v>
      </x:c>
      <x:c r="K1223" t="str">
        <x:f>XLOOKUP(B1223,Orders!A:A,Orders!E:E,"")</x:f>
        <x:v>West</x:v>
      </x:c>
      <x:c r="L1223" t="n">
        <x:f>XLOOKUP(B1223,Orders!A:A,Orders!B:B,"")</x:f>
        <x:v>45698</x:v>
      </x:c>
      <x:c r="M1223" t="str">
        <x:f>XLOOKUP(C1223,Products!A:A,Products!C:C,"")</x:f>
        <x:v>Electronics</x:v>
      </x:c>
    </x:row>
    <x:row r="1224">
      <x:c r="A1224" s="15" t="str">
        <x:v>ITEM00494_4</x:v>
      </x:c>
      <x:c r="B1224" s="15" t="str">
        <x:v>ORD00494</x:v>
      </x:c>
      <x:c r="C1224" s="15" t="str">
        <x:v>PROD008</x:v>
      </x:c>
      <x:c r="D1224" s="15" t="n">
        <x:v>3</x:v>
      </x:c>
      <x:c r="E1224" s="15" t="n">
        <x:v>8534.48</x:v>
      </x:c>
      <x:c r="F1224" s="15" t="n">
        <x:v>0</x:v>
      </x:c>
      <x:c r="G1224" s="15" t="n">
        <x:v>25603.44</x:v>
      </x:c>
      <x:c r="H1224" s="15" t="n">
        <x:v>25603.44</x:v>
      </x:c>
      <x:c r="I1224" s="15" t="n">
        <x:v>18591</x:v>
      </x:c>
      <x:c r="J1224" s="15" t="n">
        <x:v>7012.44</x:v>
      </x:c>
      <x:c r="K1224" t="str">
        <x:f>XLOOKUP(B1224,Orders!A:A,Orders!E:E,"")</x:f>
        <x:v>West</x:v>
      </x:c>
      <x:c r="L1224" t="n">
        <x:f>XLOOKUP(B1224,Orders!A:A,Orders!B:B,"")</x:f>
        <x:v>45698</x:v>
      </x:c>
      <x:c r="M1224" t="str">
        <x:f>XLOOKUP(C1224,Products!A:A,Products!C:C,"")</x:f>
        <x:v>Office Supplies</x:v>
      </x:c>
    </x:row>
    <x:row r="1225">
      <x:c r="A1225" s="15" t="str">
        <x:v>ITEM00495_1</x:v>
      </x:c>
      <x:c r="B1225" s="15" t="str">
        <x:v>ORD00495</x:v>
      </x:c>
      <x:c r="C1225" s="15" t="str">
        <x:v>PROD008</x:v>
      </x:c>
      <x:c r="D1225" s="15" t="n">
        <x:v>2</x:v>
      </x:c>
      <x:c r="E1225" s="15" t="n">
        <x:v>8534.48</x:v>
      </x:c>
      <x:c r="F1225" s="15" t="n">
        <x:v>0.15</x:v>
      </x:c>
      <x:c r="G1225" s="15" t="n">
        <x:v>17068.96</x:v>
      </x:c>
      <x:c r="H1225" s="15" t="n">
        <x:v>14508.62</x:v>
      </x:c>
      <x:c r="I1225" s="15" t="n">
        <x:v>12394</x:v>
      </x:c>
      <x:c r="J1225" s="15" t="n">
        <x:v>2114.62</x:v>
      </x:c>
      <x:c r="K1225" t="str">
        <x:f>XLOOKUP(B1225,Orders!A:A,Orders!E:E,"")</x:f>
        <x:v>South</x:v>
      </x:c>
      <x:c r="L1225" t="n">
        <x:f>XLOOKUP(B1225,Orders!A:A,Orders!B:B,"")</x:f>
        <x:v>45669</x:v>
      </x:c>
      <x:c r="M1225" t="str">
        <x:f>XLOOKUP(C1225,Products!A:A,Products!C:C,"")</x:f>
        <x:v>Office Supplies</x:v>
      </x:c>
    </x:row>
    <x:row r="1226">
      <x:c r="A1226" s="15" t="str">
        <x:v>ITEM00496_1</x:v>
      </x:c>
      <x:c r="B1226" s="15" t="str">
        <x:v>ORD00496</x:v>
      </x:c>
      <x:c r="C1226" s="15" t="str">
        <x:v>PROD032</x:v>
      </x:c>
      <x:c r="D1226" s="15" t="n">
        <x:v>7</x:v>
      </x:c>
      <x:c r="E1226" s="15" t="n">
        <x:v>6307.06</x:v>
      </x:c>
      <x:c r="F1226" s="15" t="n">
        <x:v>0.1</x:v>
      </x:c>
      <x:c r="G1226" s="15" t="n">
        <x:v>44149.42</x:v>
      </x:c>
      <x:c r="H1226" s="15" t="n">
        <x:v>39734.48</x:v>
      </x:c>
      <x:c r="I1226" s="15" t="n">
        <x:v>35539</x:v>
      </x:c>
      <x:c r="J1226" s="15" t="n">
        <x:v>4195.48</x:v>
      </x:c>
      <x:c r="K1226" t="str">
        <x:f>XLOOKUP(B1226,Orders!A:A,Orders!E:E,"")</x:f>
        <x:v>North</x:v>
      </x:c>
      <x:c r="L1226" t="n">
        <x:f>XLOOKUP(B1226,Orders!A:A,Orders!B:B,"")</x:f>
        <x:v>45831</x:v>
      </x:c>
      <x:c r="M1226" t="str">
        <x:f>XLOOKUP(C1226,Products!A:A,Products!C:C,"")</x:f>
        <x:v>Electronics</x:v>
      </x:c>
    </x:row>
    <x:row r="1227">
      <x:c r="A1227" s="15" t="str">
        <x:v>ITEM00497_1</x:v>
      </x:c>
      <x:c r="B1227" s="15" t="str">
        <x:v>ORD00497</x:v>
      </x:c>
      <x:c r="C1227" s="15" t="str">
        <x:v>PROD002</x:v>
      </x:c>
      <x:c r="D1227" s="15" t="n">
        <x:v>6</x:v>
      </x:c>
      <x:c r="E1227" s="15" t="n">
        <x:v>4655.92</x:v>
      </x:c>
      <x:c r="F1227" s="15" t="n">
        <x:v>0.05</x:v>
      </x:c>
      <x:c r="G1227" s="15" t="n">
        <x:v>27935.52</x:v>
      </x:c>
      <x:c r="H1227" s="15" t="n">
        <x:v>26538.74</x:v>
      </x:c>
      <x:c r="I1227" s="15" t="n">
        <x:v>18798</x:v>
      </x:c>
      <x:c r="J1227" s="15" t="n">
        <x:v>7740.74</x:v>
      </x:c>
      <x:c r="K1227" t="str">
        <x:f>XLOOKUP(B1227,Orders!A:A,Orders!E:E,"")</x:f>
        <x:v>West</x:v>
      </x:c>
      <x:c r="L1227" t="n">
        <x:f>XLOOKUP(B1227,Orders!A:A,Orders!B:B,"")</x:f>
        <x:v>46183</x:v>
      </x:c>
      <x:c r="M1227" t="str">
        <x:f>XLOOKUP(C1227,Products!A:A,Products!C:C,"")</x:f>
        <x:v>Accessories</x:v>
      </x:c>
    </x:row>
    <x:row r="1228">
      <x:c r="A1228" s="15" t="str">
        <x:v>ITEM00497_2</x:v>
      </x:c>
      <x:c r="B1228" s="15" t="str">
        <x:v>ORD00497</x:v>
      </x:c>
      <x:c r="C1228" s="15" t="str">
        <x:v>PROD037</x:v>
      </x:c>
      <x:c r="D1228" s="15" t="n">
        <x:v>7</x:v>
      </x:c>
      <x:c r="E1228" s="15" t="n">
        <x:v>9876.8</x:v>
      </x:c>
      <x:c r="F1228" s="15" t="n">
        <x:v>0.1</x:v>
      </x:c>
      <x:c r="G1228" s="15" t="n">
        <x:v>69137.6</x:v>
      </x:c>
      <x:c r="H1228" s="15" t="n">
        <x:v>62223.84</x:v>
      </x:c>
      <x:c r="I1228" s="15" t="n">
        <x:v>49868</x:v>
      </x:c>
      <x:c r="J1228" s="15" t="n">
        <x:v>12355.84</x:v>
      </x:c>
      <x:c r="K1228" t="str">
        <x:f>XLOOKUP(B1228,Orders!A:A,Orders!E:E,"")</x:f>
        <x:v>West</x:v>
      </x:c>
      <x:c r="L1228" t="n">
        <x:f>XLOOKUP(B1228,Orders!A:A,Orders!B:B,"")</x:f>
        <x:v>46183</x:v>
      </x:c>
      <x:c r="M1228" t="str">
        <x:f>XLOOKUP(C1228,Products!A:A,Products!C:C,"")</x:f>
        <x:v>Accessories</x:v>
      </x:c>
    </x:row>
    <x:row r="1229">
      <x:c r="A1229" s="15" t="str">
        <x:v>ITEM00497_3</x:v>
      </x:c>
      <x:c r="B1229" s="15" t="str">
        <x:v>ORD00497</x:v>
      </x:c>
      <x:c r="C1229" s="15" t="str">
        <x:v>PROD029</x:v>
      </x:c>
      <x:c r="D1229" s="15" t="n">
        <x:v>6</x:v>
      </x:c>
      <x:c r="E1229" s="15" t="n">
        <x:v>8430.77</x:v>
      </x:c>
      <x:c r="F1229" s="15" t="n">
        <x:v>0.15</x:v>
      </x:c>
      <x:c r="G1229" s="15" t="n">
        <x:v>50584.62</x:v>
      </x:c>
      <x:c r="H1229" s="15" t="n">
        <x:v>42996.93</x:v>
      </x:c>
      <x:c r="I1229" s="15" t="n">
        <x:v>37110</x:v>
      </x:c>
      <x:c r="J1229" s="15" t="n">
        <x:v>5886.93</x:v>
      </x:c>
      <x:c r="K1229" t="str">
        <x:f>XLOOKUP(B1229,Orders!A:A,Orders!E:E,"")</x:f>
        <x:v>West</x:v>
      </x:c>
      <x:c r="L1229" t="n">
        <x:f>XLOOKUP(B1229,Orders!A:A,Orders!B:B,"")</x:f>
        <x:v>46183</x:v>
      </x:c>
      <x:c r="M1229" t="str">
        <x:f>XLOOKUP(C1229,Products!A:A,Products!C:C,"")</x:f>
        <x:v>Office Supplies</x:v>
      </x:c>
    </x:row>
    <x:row r="1230">
      <x:c r="A1230" s="15" t="str">
        <x:v>ITEM00497_4</x:v>
      </x:c>
      <x:c r="B1230" s="15" t="str">
        <x:v>ORD00497</x:v>
      </x:c>
      <x:c r="C1230" s="15" t="str">
        <x:v>PROD027</x:v>
      </x:c>
      <x:c r="D1230" s="15" t="n">
        <x:v>3</x:v>
      </x:c>
      <x:c r="E1230" s="15" t="n">
        <x:v>6979.71</x:v>
      </x:c>
      <x:c r="F1230" s="15" t="n">
        <x:v>0.1</x:v>
      </x:c>
      <x:c r="G1230" s="15" t="n">
        <x:v>20939.13</x:v>
      </x:c>
      <x:c r="H1230" s="15" t="n">
        <x:v>18845.22</x:v>
      </x:c>
      <x:c r="I1230" s="15" t="n">
        <x:v>16911</x:v>
      </x:c>
      <x:c r="J1230" s="15" t="n">
        <x:v>1934.22</x:v>
      </x:c>
      <x:c r="K1230" t="str">
        <x:f>XLOOKUP(B1230,Orders!A:A,Orders!E:E,"")</x:f>
        <x:v>West</x:v>
      </x:c>
      <x:c r="L1230" t="n">
        <x:f>XLOOKUP(B1230,Orders!A:A,Orders!B:B,"")</x:f>
        <x:v>46183</x:v>
      </x:c>
      <x:c r="M1230" t="str">
        <x:f>XLOOKUP(C1230,Products!A:A,Products!C:C,"")</x:f>
        <x:v>Electronics</x:v>
      </x:c>
    </x:row>
    <x:row r="1231">
      <x:c r="A1231" s="15" t="str">
        <x:v>ITEM00498_1</x:v>
      </x:c>
      <x:c r="B1231" s="15" t="str">
        <x:v>ORD00498</x:v>
      </x:c>
      <x:c r="C1231" s="15" t="str">
        <x:v>PROD003</x:v>
      </x:c>
      <x:c r="D1231" s="15" t="n">
        <x:v>1</x:v>
      </x:c>
      <x:c r="E1231" s="15" t="n">
        <x:v>10757.89</x:v>
      </x:c>
      <x:c r="F1231" s="15" t="n">
        <x:v>0.05</x:v>
      </x:c>
      <x:c r="G1231" s="15" t="n">
        <x:v>10757.89</x:v>
      </x:c>
      <x:c r="H1231" s="15" t="n">
        <x:v>10220</x:v>
      </x:c>
      <x:c r="I1231" s="15" t="n">
        <x:v>7421</x:v>
      </x:c>
      <x:c r="J1231" s="15" t="n">
        <x:v>2799</x:v>
      </x:c>
      <x:c r="K1231" t="str">
        <x:f>XLOOKUP(B1231,Orders!A:A,Orders!E:E,"")</x:f>
        <x:v>South</x:v>
      </x:c>
      <x:c r="L1231" t="n">
        <x:f>XLOOKUP(B1231,Orders!A:A,Orders!B:B,"")</x:f>
        <x:v>46043</x:v>
      </x:c>
      <x:c r="M1231" t="str">
        <x:f>XLOOKUP(C1231,Products!A:A,Products!C:C,"")</x:f>
        <x:v>Accessories</x:v>
      </x:c>
    </x:row>
    <x:row r="1232">
      <x:c r="A1232" s="15" t="str">
        <x:v>ITEM00498_2</x:v>
      </x:c>
      <x:c r="B1232" s="15" t="str">
        <x:v>ORD00498</x:v>
      </x:c>
      <x:c r="C1232" s="15" t="str">
        <x:v>PROD011</x:v>
      </x:c>
      <x:c r="D1232" s="15" t="n">
        <x:v>8</x:v>
      </x:c>
      <x:c r="E1232" s="15" t="n">
        <x:v>7135.27</x:v>
      </x:c>
      <x:c r="F1232" s="15" t="n">
        <x:v>0.15</x:v>
      </x:c>
      <x:c r="G1232" s="15" t="n">
        <x:v>57082.16</x:v>
      </x:c>
      <x:c r="H1232" s="15" t="n">
        <x:v>48519.84</x:v>
      </x:c>
      <x:c r="I1232" s="15" t="n">
        <x:v>41624</x:v>
      </x:c>
      <x:c r="J1232" s="15" t="n">
        <x:v>6895.84</x:v>
      </x:c>
      <x:c r="K1232" t="str">
        <x:f>XLOOKUP(B1232,Orders!A:A,Orders!E:E,"")</x:f>
        <x:v>South</x:v>
      </x:c>
      <x:c r="L1232" t="n">
        <x:f>XLOOKUP(B1232,Orders!A:A,Orders!B:B,"")</x:f>
        <x:v>46043</x:v>
      </x:c>
      <x:c r="M1232" t="str">
        <x:f>XLOOKUP(C1232,Products!A:A,Products!C:C,"")</x:f>
        <x:v>Accessories</x:v>
      </x:c>
    </x:row>
    <x:row r="1233">
      <x:c r="A1233" s="15" t="str">
        <x:v>ITEM00498_3</x:v>
      </x:c>
      <x:c r="B1233" s="15" t="str">
        <x:v>ORD00498</x:v>
      </x:c>
      <x:c r="C1233" s="15" t="str">
        <x:v>PROD033</x:v>
      </x:c>
      <x:c r="D1233" s="15" t="n">
        <x:v>6</x:v>
      </x:c>
      <x:c r="E1233" s="15" t="n">
        <x:v>3912.41</x:v>
      </x:c>
      <x:c r="F1233" s="15" t="n">
        <x:v>0</x:v>
      </x:c>
      <x:c r="G1233" s="15" t="n">
        <x:v>23474.46</x:v>
      </x:c>
      <x:c r="H1233" s="15" t="n">
        <x:v>23474.46</x:v>
      </x:c>
      <x:c r="I1233" s="15" t="n">
        <x:v>17946</x:v>
      </x:c>
      <x:c r="J1233" s="15" t="n">
        <x:v>5528.46</x:v>
      </x:c>
      <x:c r="K1233" t="str">
        <x:f>XLOOKUP(B1233,Orders!A:A,Orders!E:E,"")</x:f>
        <x:v>South</x:v>
      </x:c>
      <x:c r="L1233" t="n">
        <x:f>XLOOKUP(B1233,Orders!A:A,Orders!B:B,"")</x:f>
        <x:v>46043</x:v>
      </x:c>
      <x:c r="M1233" t="str">
        <x:f>XLOOKUP(C1233,Products!A:A,Products!C:C,"")</x:f>
        <x:v>Furniture</x:v>
      </x:c>
    </x:row>
    <x:row r="1234">
      <x:c r="A1234" s="15" t="str">
        <x:v>ITEM00499_1</x:v>
      </x:c>
      <x:c r="B1234" s="15" t="str">
        <x:v>ORD00499</x:v>
      </x:c>
      <x:c r="C1234" s="15" t="str">
        <x:v>PROD018</x:v>
      </x:c>
      <x:c r="D1234" s="15" t="n">
        <x:v>1</x:v>
      </x:c>
      <x:c r="E1234" s="15" t="n">
        <x:v>5637.8</x:v>
      </x:c>
      <x:c r="F1234" s="15" t="n">
        <x:v>0</x:v>
      </x:c>
      <x:c r="G1234" s="15" t="n">
        <x:v>5637.8</x:v>
      </x:c>
      <x:c r="H1234" s="15" t="n">
        <x:v>5637.8</x:v>
      </x:c>
      <x:c r="I1234" s="15" t="n">
        <x:v>4211</x:v>
      </x:c>
      <x:c r="J1234" s="15" t="n">
        <x:v>1426.8</x:v>
      </x:c>
      <x:c r="K1234" t="str">
        <x:f>XLOOKUP(B1234,Orders!A:A,Orders!E:E,"")</x:f>
        <x:v>East</x:v>
      </x:c>
      <x:c r="L1234" t="n">
        <x:f>XLOOKUP(B1234,Orders!A:A,Orders!B:B,"")</x:f>
        <x:v>46126</x:v>
      </x:c>
      <x:c r="M1234" t="str">
        <x:f>XLOOKUP(C1234,Products!A:A,Products!C:C,"")</x:f>
        <x:v>Electronics</x:v>
      </x:c>
    </x:row>
    <x:row r="1235">
      <x:c r="A1235" s="15" t="str">
        <x:v>ITEM00499_2</x:v>
      </x:c>
      <x:c r="B1235" s="15" t="str">
        <x:v>ORD00499</x:v>
      </x:c>
      <x:c r="C1235" s="15" t="str">
        <x:v>PROD034</x:v>
      </x:c>
      <x:c r="D1235" s="15" t="n">
        <x:v>1</x:v>
      </x:c>
      <x:c r="E1235" s="15" t="n">
        <x:v>5451.76</x:v>
      </x:c>
      <x:c r="F1235" s="15" t="n">
        <x:v>0</x:v>
      </x:c>
      <x:c r="G1235" s="15" t="n">
        <x:v>5451.76</x:v>
      </x:c>
      <x:c r="H1235" s="15" t="n">
        <x:v>5451.76</x:v>
      </x:c>
      <x:c r="I1235" s="15" t="n">
        <x:v>3776</x:v>
      </x:c>
      <x:c r="J1235" s="15" t="n">
        <x:v>1675.76</x:v>
      </x:c>
      <x:c r="K1235" t="str">
        <x:f>XLOOKUP(B1235,Orders!A:A,Orders!E:E,"")</x:f>
        <x:v>East</x:v>
      </x:c>
      <x:c r="L1235" t="n">
        <x:f>XLOOKUP(B1235,Orders!A:A,Orders!B:B,"")</x:f>
        <x:v>46126</x:v>
      </x:c>
      <x:c r="M1235" t="str">
        <x:f>XLOOKUP(C1235,Products!A:A,Products!C:C,"")</x:f>
        <x:v>Accessories</x:v>
      </x:c>
    </x:row>
    <x:row r="1236">
      <x:c r="A1236" s="15" t="str">
        <x:v>ITEM00499_3</x:v>
      </x:c>
      <x:c r="B1236" s="15" t="str">
        <x:v>ORD00499</x:v>
      </x:c>
      <x:c r="C1236" s="15" t="str">
        <x:v>PROD030</x:v>
      </x:c>
      <x:c r="D1236" s="15" t="n">
        <x:v>3</x:v>
      </x:c>
      <x:c r="E1236" s="15" t="n">
        <x:v>5180.7</x:v>
      </x:c>
      <x:c r="F1236" s="15" t="n">
        <x:v>0</x:v>
      </x:c>
      <x:c r="G1236" s="15" t="n">
        <x:v>15542.1</x:v>
      </x:c>
      <x:c r="H1236" s="15" t="n">
        <x:v>15542.1</x:v>
      </x:c>
      <x:c r="I1236" s="15" t="n">
        <x:v>11664</x:v>
      </x:c>
      <x:c r="J1236" s="15" t="n">
        <x:v>3878.1</x:v>
      </x:c>
      <x:c r="K1236" t="str">
        <x:f>XLOOKUP(B1236,Orders!A:A,Orders!E:E,"")</x:f>
        <x:v>East</x:v>
      </x:c>
      <x:c r="L1236" t="n">
        <x:f>XLOOKUP(B1236,Orders!A:A,Orders!B:B,"")</x:f>
        <x:v>46126</x:v>
      </x:c>
      <x:c r="M1236" t="str">
        <x:f>XLOOKUP(C1236,Products!A:A,Products!C:C,"")</x:f>
        <x:v>Office Supplies</x:v>
      </x:c>
    </x:row>
    <x:row r="1237">
      <x:c r="A1237" s="15" t="str">
        <x:v>ITEM00500_1</x:v>
      </x:c>
      <x:c r="B1237" s="15" t="str">
        <x:v>ORD00500</x:v>
      </x:c>
      <x:c r="C1237" s="15" t="str">
        <x:v>PROD023</x:v>
      </x:c>
      <x:c r="D1237" s="15" t="n">
        <x:v>6</x:v>
      </x:c>
      <x:c r="E1237" s="15" t="n">
        <x:v>5153.56</x:v>
      </x:c>
      <x:c r="F1237" s="15" t="n">
        <x:v>0.1</x:v>
      </x:c>
      <x:c r="G1237" s="15" t="n">
        <x:v>30921.36</x:v>
      </x:c>
      <x:c r="H1237" s="15" t="n">
        <x:v>27829.22</x:v>
      </x:c>
      <x:c r="I1237" s="15" t="n">
        <x:v>23748</x:v>
      </x:c>
      <x:c r="J1237" s="15" t="n">
        <x:v>4081.22</x:v>
      </x:c>
      <x:c r="K1237" t="str">
        <x:f>XLOOKUP(B1237,Orders!A:A,Orders!E:E,"")</x:f>
        <x:v>North</x:v>
      </x:c>
      <x:c r="L1237" t="n">
        <x:f>XLOOKUP(B1237,Orders!A:A,Orders!B:B,"")</x:f>
        <x:v>45898</x:v>
      </x:c>
      <x:c r="M1237" t="str">
        <x:f>XLOOKUP(C1237,Products!A:A,Products!C:C,"")</x:f>
        <x:v>Electronics</x:v>
      </x:c>
    </x:row>
    <x:row r="1238">
      <x:c r="A1238" s="15" t="str">
        <x:v>ITEM00500_2</x:v>
      </x:c>
      <x:c r="B1238" s="15" t="str">
        <x:v>ORD00500</x:v>
      </x:c>
      <x:c r="C1238" s="15" t="str">
        <x:v>PROD017</x:v>
      </x:c>
      <x:c r="D1238" s="15" t="n">
        <x:v>7</x:v>
      </x:c>
      <x:c r="E1238" s="15" t="n">
        <x:v>7311.62</x:v>
      </x:c>
      <x:c r="F1238" s="15" t="n">
        <x:v>0.05</x:v>
      </x:c>
      <x:c r="G1238" s="15" t="n">
        <x:v>51181.34</x:v>
      </x:c>
      <x:c r="H1238" s="15" t="n">
        <x:v>48622.27</x:v>
      </x:c>
      <x:c r="I1238" s="15" t="n">
        <x:v>36806</x:v>
      </x:c>
      <x:c r="J1238" s="15" t="n">
        <x:v>11816.27</x:v>
      </x:c>
      <x:c r="K1238" t="str">
        <x:f>XLOOKUP(B1238,Orders!A:A,Orders!E:E,"")</x:f>
        <x:v>North</x:v>
      </x:c>
      <x:c r="L1238" t="n">
        <x:f>XLOOKUP(B1238,Orders!A:A,Orders!B:B,"")</x:f>
        <x:v>45898</x:v>
      </x:c>
      <x:c r="M1238" t="str">
        <x:f>XLOOKUP(C1238,Products!A:A,Products!C:C,"")</x:f>
        <x:v>Accessories</x:v>
      </x:c>
    </x:row>
  </x:sheetData>
  <x:pageMargins left="0.7" right="0.7" top="0.75" bottom="0.75" header="0.3" footer="0.3"/>
  <x:tableParts count="1">
    <x:tablePart xmlns:r="http://schemas.openxmlformats.org/officeDocument/2006/relationships" r:id="R0d7529ccf8504ad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9.630000114440918" hidden="0" customWidth="1"/>
    <x:col min="3" max="3" width="12.130000114440918" hidden="0" customWidth="1"/>
    <x:col min="4" max="4" width="13.25" hidden="0" customWidth="1"/>
    <x:col min="5" max="5" width="14.75" hidden="0" customWidth="1"/>
    <x:col min="6" max="6" width="15.25" hidden="0" customWidth="1"/>
  </x:cols>
  <x:sheetData>
    <x:row r="1">
      <x:c r="A1" s="22" t="str">
        <x:v>return_id</x:v>
      </x:c>
      <x:c r="B1" s="22" t="str">
        <x:v>order_id</x:v>
      </x:c>
      <x:c r="C1" s="38" t="str">
        <x:v>return_date</x:v>
      </x:c>
      <x:c r="D1" s="22" t="str">
        <x:v>reason</x:v>
      </x:c>
      <x:c r="E1" s="40" t="str">
        <x:v>return_amount</x:v>
      </x:c>
      <x:c r="F1" s="22" t="str">
        <x:v>approval_status</x:v>
      </x:c>
    </x:row>
    <x:row r="2">
      <x:c r="A2" s="15" t="str">
        <x:v>RET00002</x:v>
      </x:c>
      <x:c r="B2" s="15" t="str">
        <x:v>ORD00002</x:v>
      </x:c>
      <x:c r="C2" s="15" t="n">
        <x:v>45990</x:v>
      </x:c>
      <x:c r="D2" s="15" t="str">
        <x:v>Damaged</x:v>
      </x:c>
      <x:c r="E2" s="15" t="n">
        <x:v>38639.38</x:v>
      </x:c>
      <x:c r="F2" s="15" t="str">
        <x:v>Pending</x:v>
      </x:c>
    </x:row>
    <x:row r="3">
      <x:c r="A3" s="15" t="str">
        <x:v>RET00008</x:v>
      </x:c>
      <x:c r="B3" s="15" t="str">
        <x:v>ORD00008</x:v>
      </x:c>
      <x:c r="C3" s="15" t="n">
        <x:v>46117</x:v>
      </x:c>
      <x:c r="D3" s="15" t="str">
        <x:v>Wrong Item</x:v>
      </x:c>
      <x:c r="E3" s="15" t="n">
        <x:v>40739.25</x:v>
      </x:c>
      <x:c r="F3" s="15" t="str">
        <x:v>Rejected</x:v>
      </x:c>
    </x:row>
    <x:row r="4">
      <x:c r="A4" s="15" t="str">
        <x:v>RET00012</x:v>
      </x:c>
      <x:c r="B4" s="15" t="str">
        <x:v>ORD00012</x:v>
      </x:c>
      <x:c r="C4" s="15" t="n">
        <x:v>45863</x:v>
      </x:c>
      <x:c r="D4" s="15" t="str">
        <x:v>Customer Return</x:v>
      </x:c>
      <x:c r="E4" s="15" t="n">
        <x:v>22489.3</x:v>
      </x:c>
      <x:c r="F4" s="15" t="str">
        <x:v>Rejected</x:v>
      </x:c>
    </x:row>
    <x:row r="5">
      <x:c r="A5" s="15" t="str">
        <x:v>RET00013</x:v>
      </x:c>
      <x:c r="B5" s="15" t="str">
        <x:v>ORD00013</x:v>
      </x:c>
      <x:c r="C5" s="15" t="n">
        <x:v>45956</x:v>
      </x:c>
      <x:c r="D5" s="15" t="str">
        <x:v>Wrong Item</x:v>
      </x:c>
      <x:c r="E5" s="15" t="n">
        <x:v>11866.57</x:v>
      </x:c>
      <x:c r="F5" s="15" t="str">
        <x:v>Pending</x:v>
      </x:c>
    </x:row>
    <x:row r="6">
      <x:c r="A6" s="15" t="str">
        <x:v>RET00027</x:v>
      </x:c>
      <x:c r="B6" s="15" t="str">
        <x:v>ORD00027</x:v>
      </x:c>
      <x:c r="C6" s="15" t="n">
        <x:v>45841</x:v>
      </x:c>
      <x:c r="D6" s="15" t="str">
        <x:v>Damaged</x:v>
      </x:c>
      <x:c r="E6" s="15" t="n">
        <x:v>23919.27</x:v>
      </x:c>
      <x:c r="F6" s="15" t="str">
        <x:v>Approved</x:v>
      </x:c>
    </x:row>
    <x:row r="7">
      <x:c r="A7" s="15" t="str">
        <x:v>RET00047</x:v>
      </x:c>
      <x:c r="B7" s="15" t="str">
        <x:v>ORD00047</x:v>
      </x:c>
      <x:c r="C7" s="15" t="n">
        <x:v>45744</x:v>
      </x:c>
      <x:c r="D7" s="15" t="str">
        <x:v>Wrong Item</x:v>
      </x:c>
      <x:c r="E7" s="15" t="n">
        <x:v>6313.01</x:v>
      </x:c>
      <x:c r="F7" s="15" t="str">
        <x:v>Rejected</x:v>
      </x:c>
    </x:row>
    <x:row r="8">
      <x:c r="A8" s="15" t="str">
        <x:v>RET00126</x:v>
      </x:c>
      <x:c r="B8" s="15" t="str">
        <x:v>ORD00126</x:v>
      </x:c>
      <x:c r="C8" s="15" t="n">
        <x:v>45754</x:v>
      </x:c>
      <x:c r="D8" s="15" t="str">
        <x:v>Wrong Item</x:v>
      </x:c>
      <x:c r="E8" s="15" t="n">
        <x:v>22782.67</x:v>
      </x:c>
      <x:c r="F8" s="15" t="str">
        <x:v>Rejected</x:v>
      </x:c>
    </x:row>
    <x:row r="9">
      <x:c r="A9" s="15" t="str">
        <x:v>RET00132</x:v>
      </x:c>
      <x:c r="B9" s="15" t="str">
        <x:v>ORD00132</x:v>
      </x:c>
      <x:c r="C9" s="15" t="n">
        <x:v>45725</x:v>
      </x:c>
      <x:c r="D9" s="15" t="str">
        <x:v>Wrong Item</x:v>
      </x:c>
      <x:c r="E9" s="15" t="n">
        <x:v>65441.83</x:v>
      </x:c>
      <x:c r="F9" s="15" t="str">
        <x:v>Rejected</x:v>
      </x:c>
    </x:row>
    <x:row r="10">
      <x:c r="A10" s="15" t="str">
        <x:v>RET00133</x:v>
      </x:c>
      <x:c r="B10" s="15" t="str">
        <x:v>ORD00133</x:v>
      </x:c>
      <x:c r="C10" s="15" t="n">
        <x:v>45890</x:v>
      </x:c>
      <x:c r="D10" s="15" t="str">
        <x:v>Wrong Item</x:v>
      </x:c>
      <x:c r="E10" s="15" t="n">
        <x:v>28054.94</x:v>
      </x:c>
      <x:c r="F10" s="15" t="str">
        <x:v>Approved</x:v>
      </x:c>
    </x:row>
    <x:row r="11">
      <x:c r="A11" s="15" t="str">
        <x:v>RET00160</x:v>
      </x:c>
      <x:c r="B11" s="15" t="str">
        <x:v>ORD00160</x:v>
      </x:c>
      <x:c r="C11" s="15" t="n">
        <x:v>45802</x:v>
      </x:c>
      <x:c r="D11" s="15" t="str">
        <x:v>Customer Return</x:v>
      </x:c>
      <x:c r="E11" s="15" t="n">
        <x:v>83455.18</x:v>
      </x:c>
      <x:c r="F11" s="15" t="str">
        <x:v>Approved</x:v>
      </x:c>
    </x:row>
    <x:row r="12">
      <x:c r="A12" s="15" t="str">
        <x:v>RET00163</x:v>
      </x:c>
      <x:c r="B12" s="15" t="str">
        <x:v>ORD00163</x:v>
      </x:c>
      <x:c r="C12" s="15" t="n">
        <x:v>45740</x:v>
      </x:c>
      <x:c r="D12" s="15" t="str">
        <x:v>Customer Return</x:v>
      </x:c>
      <x:c r="E12" s="15" t="n">
        <x:v>6236.92</x:v>
      </x:c>
      <x:c r="F12" s="15" t="str">
        <x:v>Rejected</x:v>
      </x:c>
    </x:row>
    <x:row r="13">
      <x:c r="A13" s="15" t="str">
        <x:v>RET00172</x:v>
      </x:c>
      <x:c r="B13" s="15" t="str">
        <x:v>ORD00172</x:v>
      </x:c>
      <x:c r="C13" s="15" t="n">
        <x:v>46146</x:v>
      </x:c>
      <x:c r="D13" s="15" t="str">
        <x:v>Customer Return</x:v>
      </x:c>
      <x:c r="E13" s="15" t="n">
        <x:v>42065.18</x:v>
      </x:c>
      <x:c r="F13" s="15" t="str">
        <x:v>Rejected</x:v>
      </x:c>
    </x:row>
    <x:row r="14">
      <x:c r="A14" s="15" t="str">
        <x:v>RET00175</x:v>
      </x:c>
      <x:c r="B14" s="15" t="str">
        <x:v>ORD00175</x:v>
      </x:c>
      <x:c r="C14" s="15" t="n">
        <x:v>45748</x:v>
      </x:c>
      <x:c r="D14" s="15" t="str">
        <x:v>Quality Issue</x:v>
      </x:c>
      <x:c r="E14" s="15" t="n">
        <x:v>43609.35</x:v>
      </x:c>
      <x:c r="F14" s="15" t="str">
        <x:v>Pending</x:v>
      </x:c>
    </x:row>
    <x:row r="15">
      <x:c r="A15" s="15" t="str">
        <x:v>RET00201</x:v>
      </x:c>
      <x:c r="B15" s="15" t="str">
        <x:v>ORD00201</x:v>
      </x:c>
      <x:c r="C15" s="15" t="n">
        <x:v>45893</x:v>
      </x:c>
      <x:c r="D15" s="15" t="str">
        <x:v>Damaged</x:v>
      </x:c>
      <x:c r="E15" s="15" t="n">
        <x:v>35184.33</x:v>
      </x:c>
      <x:c r="F15" s="15" t="str">
        <x:v>Approved</x:v>
      </x:c>
    </x:row>
    <x:row r="16">
      <x:c r="A16" s="15" t="str">
        <x:v>RET00211</x:v>
      </x:c>
      <x:c r="B16" s="15" t="str">
        <x:v>ORD00211</x:v>
      </x:c>
      <x:c r="C16" s="15" t="n">
        <x:v>45980</x:v>
      </x:c>
      <x:c r="D16" s="15" t="str">
        <x:v>Customer Return</x:v>
      </x:c>
      <x:c r="E16" s="15" t="n">
        <x:v>27671.4</x:v>
      </x:c>
      <x:c r="F16" s="15" t="str">
        <x:v>Pending</x:v>
      </x:c>
    </x:row>
    <x:row r="17">
      <x:c r="A17" s="15" t="str">
        <x:v>RET00217</x:v>
      </x:c>
      <x:c r="B17" s="15" t="str">
        <x:v>ORD00217</x:v>
      </x:c>
      <x:c r="C17" s="15" t="n">
        <x:v>46034</x:v>
      </x:c>
      <x:c r="D17" s="15" t="str">
        <x:v>Damaged</x:v>
      </x:c>
      <x:c r="E17" s="15" t="n">
        <x:v>28411.43</x:v>
      </x:c>
      <x:c r="F17" s="15" t="str">
        <x:v>Approved</x:v>
      </x:c>
    </x:row>
    <x:row r="18">
      <x:c r="A18" s="15" t="str">
        <x:v>RET00227</x:v>
      </x:c>
      <x:c r="B18" s="15" t="str">
        <x:v>ORD00227</x:v>
      </x:c>
      <x:c r="C18" s="15" t="n">
        <x:v>46015</x:v>
      </x:c>
      <x:c r="D18" s="15" t="str">
        <x:v>Customer Return</x:v>
      </x:c>
      <x:c r="E18" s="15" t="n">
        <x:v>3768.33</x:v>
      </x:c>
      <x:c r="F18" s="15" t="str">
        <x:v>Pending</x:v>
      </x:c>
    </x:row>
    <x:row r="19">
      <x:c r="A19" s="15" t="str">
        <x:v>RET00242</x:v>
      </x:c>
      <x:c r="B19" s="15" t="str">
        <x:v>ORD00242</x:v>
      </x:c>
      <x:c r="C19" s="15" t="n">
        <x:v>46034</x:v>
      </x:c>
      <x:c r="D19" s="15" t="str">
        <x:v>Customer Return</x:v>
      </x:c>
      <x:c r="E19" s="15" t="n">
        <x:v>45794.59</x:v>
      </x:c>
      <x:c r="F19" s="15" t="str">
        <x:v>Pending</x:v>
      </x:c>
    </x:row>
    <x:row r="20">
      <x:c r="A20" s="15" t="str">
        <x:v>RET00267</x:v>
      </x:c>
      <x:c r="B20" s="15" t="str">
        <x:v>ORD00267</x:v>
      </x:c>
      <x:c r="C20" s="15" t="n">
        <x:v>46070</x:v>
      </x:c>
      <x:c r="D20" s="15" t="str">
        <x:v>Wrong Item</x:v>
      </x:c>
      <x:c r="E20" s="15" t="n">
        <x:v>48647.96</x:v>
      </x:c>
      <x:c r="F20" s="15" t="str">
        <x:v>Pending</x:v>
      </x:c>
    </x:row>
    <x:row r="21">
      <x:c r="A21" s="15" t="str">
        <x:v>RET00279</x:v>
      </x:c>
      <x:c r="B21" s="15" t="str">
        <x:v>ORD00279</x:v>
      </x:c>
      <x:c r="C21" s="15" t="n">
        <x:v>45963</x:v>
      </x:c>
      <x:c r="D21" s="15" t="str">
        <x:v>Quality Issue</x:v>
      </x:c>
      <x:c r="E21" s="15" t="n">
        <x:v>27651.55</x:v>
      </x:c>
      <x:c r="F21" s="15" t="str">
        <x:v>Pending</x:v>
      </x:c>
    </x:row>
    <x:row r="22">
      <x:c r="A22" s="15" t="str">
        <x:v>RET00296</x:v>
      </x:c>
      <x:c r="B22" s="15" t="str">
        <x:v>ORD00296</x:v>
      </x:c>
      <x:c r="C22" s="15" t="n">
        <x:v>46076</x:v>
      </x:c>
      <x:c r="D22" s="15" t="str">
        <x:v>Wrong Item</x:v>
      </x:c>
      <x:c r="E22" s="15" t="n">
        <x:v>59070.07</x:v>
      </x:c>
      <x:c r="F22" s="15" t="str">
        <x:v>Rejected</x:v>
      </x:c>
    </x:row>
    <x:row r="23">
      <x:c r="A23" s="15" t="str">
        <x:v>RET00297</x:v>
      </x:c>
      <x:c r="B23" s="15" t="str">
        <x:v>ORD00297</x:v>
      </x:c>
      <x:c r="C23" s="15" t="n">
        <x:v>45871</x:v>
      </x:c>
      <x:c r="D23" s="15" t="str">
        <x:v>Customer Return</x:v>
      </x:c>
      <x:c r="E23" s="15" t="n">
        <x:v>25571.8</x:v>
      </x:c>
      <x:c r="F23" s="15" t="str">
        <x:v>Pending</x:v>
      </x:c>
    </x:row>
    <x:row r="24">
      <x:c r="A24" s="15" t="str">
        <x:v>RET00306</x:v>
      </x:c>
      <x:c r="B24" s="15" t="str">
        <x:v>ORD00306</x:v>
      </x:c>
      <x:c r="C24" s="15" t="n">
        <x:v>46080</x:v>
      </x:c>
      <x:c r="D24" s="15" t="str">
        <x:v>Wrong Item</x:v>
      </x:c>
      <x:c r="E24" s="15" t="n">
        <x:v>21129.51</x:v>
      </x:c>
      <x:c r="F24" s="15" t="str">
        <x:v>Rejected</x:v>
      </x:c>
    </x:row>
    <x:row r="25">
      <x:c r="A25" s="15" t="str">
        <x:v>RET00323</x:v>
      </x:c>
      <x:c r="B25" s="15" t="str">
        <x:v>ORD00323</x:v>
      </x:c>
      <x:c r="C25" s="15" t="n">
        <x:v>45871</x:v>
      </x:c>
      <x:c r="D25" s="15" t="str">
        <x:v>Wrong Item</x:v>
      </x:c>
      <x:c r="E25" s="15" t="n">
        <x:v>27055.7</x:v>
      </x:c>
      <x:c r="F25" s="15" t="str">
        <x:v>Approved</x:v>
      </x:c>
    </x:row>
    <x:row r="26">
      <x:c r="A26" s="15" t="str">
        <x:v>RET00333</x:v>
      </x:c>
      <x:c r="B26" s="15" t="str">
        <x:v>ORD00333</x:v>
      </x:c>
      <x:c r="C26" s="15" t="n">
        <x:v>45735</x:v>
      </x:c>
      <x:c r="D26" s="15" t="str">
        <x:v>Wrong Item</x:v>
      </x:c>
      <x:c r="E26" s="15" t="n">
        <x:v>45965.96</x:v>
      </x:c>
      <x:c r="F26" s="15" t="str">
        <x:v>Rejected</x:v>
      </x:c>
    </x:row>
    <x:row r="27">
      <x:c r="A27" s="15" t="str">
        <x:v>RET00340</x:v>
      </x:c>
      <x:c r="B27" s="15" t="str">
        <x:v>ORD00340</x:v>
      </x:c>
      <x:c r="C27" s="15" t="n">
        <x:v>45826</x:v>
      </x:c>
      <x:c r="D27" s="15" t="str">
        <x:v>Wrong Item</x:v>
      </x:c>
      <x:c r="E27" s="15" t="n">
        <x:v>48929.86</x:v>
      </x:c>
      <x:c r="F27" s="15" t="str">
        <x:v>Approved</x:v>
      </x:c>
    </x:row>
    <x:row r="28">
      <x:c r="A28" s="15" t="str">
        <x:v>RET00348</x:v>
      </x:c>
      <x:c r="B28" s="15" t="str">
        <x:v>ORD00348</x:v>
      </x:c>
      <x:c r="C28" s="15" t="n">
        <x:v>46119</x:v>
      </x:c>
      <x:c r="D28" s="15" t="str">
        <x:v>Quality Issue</x:v>
      </x:c>
      <x:c r="E28" s="15" t="n">
        <x:v>32505.62</x:v>
      </x:c>
      <x:c r="F28" s="15" t="str">
        <x:v>Pending</x:v>
      </x:c>
    </x:row>
    <x:row r="29">
      <x:c r="A29" s="15" t="str">
        <x:v>RET00357</x:v>
      </x:c>
      <x:c r="B29" s="15" t="str">
        <x:v>ORD00357</x:v>
      </x:c>
      <x:c r="C29" s="15" t="n">
        <x:v>46207</x:v>
      </x:c>
      <x:c r="D29" s="15" t="str">
        <x:v>Customer Return</x:v>
      </x:c>
      <x:c r="E29" s="15" t="n">
        <x:v>15677.84</x:v>
      </x:c>
      <x:c r="F29" s="15" t="str">
        <x:v>Pending</x:v>
      </x:c>
    </x:row>
    <x:row r="30">
      <x:c r="A30" s="15" t="str">
        <x:v>RET00391</x:v>
      </x:c>
      <x:c r="B30" s="15" t="str">
        <x:v>ORD00391</x:v>
      </x:c>
      <x:c r="C30" s="15" t="n">
        <x:v>46171</x:v>
      </x:c>
      <x:c r="D30" s="15" t="str">
        <x:v>Quality Issue</x:v>
      </x:c>
      <x:c r="E30" s="15" t="n">
        <x:v>12318.25</x:v>
      </x:c>
      <x:c r="F30" s="15" t="str">
        <x:v>Approved</x:v>
      </x:c>
    </x:row>
    <x:row r="31">
      <x:c r="A31" s="15" t="str">
        <x:v>RET00403</x:v>
      </x:c>
      <x:c r="B31" s="15" t="str">
        <x:v>ORD00403</x:v>
      </x:c>
      <x:c r="C31" s="15" t="n">
        <x:v>45899</x:v>
      </x:c>
      <x:c r="D31" s="15" t="str">
        <x:v>Customer Return</x:v>
      </x:c>
      <x:c r="E31" s="15" t="n">
        <x:v>13662.21</x:v>
      </x:c>
      <x:c r="F31" s="15" t="str">
        <x:v>Approved</x:v>
      </x:c>
    </x:row>
    <x:row r="32">
      <x:c r="A32" s="15" t="str">
        <x:v>RET00405</x:v>
      </x:c>
      <x:c r="B32" s="15" t="str">
        <x:v>ORD00405</x:v>
      </x:c>
      <x:c r="C32" s="15" t="n">
        <x:v>45720</x:v>
      </x:c>
      <x:c r="D32" s="15" t="str">
        <x:v>Quality Issue</x:v>
      </x:c>
      <x:c r="E32" s="15" t="n">
        <x:v>12337.6</x:v>
      </x:c>
      <x:c r="F32" s="15" t="str">
        <x:v>Rejected</x:v>
      </x:c>
    </x:row>
    <x:row r="33">
      <x:c r="A33" s="15" t="str">
        <x:v>RET00410</x:v>
      </x:c>
      <x:c r="B33" s="15" t="str">
        <x:v>ORD00410</x:v>
      </x:c>
      <x:c r="C33" s="15" t="n">
        <x:v>45785</x:v>
      </x:c>
      <x:c r="D33" s="15" t="str">
        <x:v>Quality Issue</x:v>
      </x:c>
      <x:c r="E33" s="15" t="n">
        <x:v>12458.38</x:v>
      </x:c>
      <x:c r="F33" s="15" t="str">
        <x:v>Approved</x:v>
      </x:c>
    </x:row>
    <x:row r="34">
      <x:c r="A34" s="15" t="str">
        <x:v>RET00459</x:v>
      </x:c>
      <x:c r="B34" s="15" t="str">
        <x:v>ORD00459</x:v>
      </x:c>
      <x:c r="C34" s="15" t="n">
        <x:v>45910</x:v>
      </x:c>
      <x:c r="D34" s="15" t="str">
        <x:v>Quality Issue</x:v>
      </x:c>
      <x:c r="E34" s="15" t="n">
        <x:v>67208.58</x:v>
      </x:c>
      <x:c r="F34" s="15" t="str">
        <x:v>Approved</x:v>
      </x:c>
    </x:row>
    <x:row r="35">
      <x:c r="A35" s="15" t="str">
        <x:v>RET00462</x:v>
      </x:c>
      <x:c r="B35" s="15" t="str">
        <x:v>ORD00462</x:v>
      </x:c>
      <x:c r="C35" s="15" t="n">
        <x:v>46219</x:v>
      </x:c>
      <x:c r="D35" s="15" t="str">
        <x:v>Damaged</x:v>
      </x:c>
      <x:c r="E35" s="15" t="n">
        <x:v>22948.64</x:v>
      </x:c>
      <x:c r="F35" s="15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03324e280a9242e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9.630000114440918" hidden="0" customWidth="1"/>
    <x:col min="3" max="3" width="14.130000114440918" hidden="0" customWidth="1"/>
    <x:col min="4" max="4" width="13.25" hidden="0" customWidth="1"/>
    <x:col min="5" max="5" width="15.25" hidden="0" customWidth="1"/>
  </x:cols>
  <x:sheetData>
    <x:row r="1">
      <x:c r="A1" s="22" t="str">
        <x:v>payment_id</x:v>
      </x:c>
      <x:c r="B1" s="22" t="str">
        <x:v>order_id</x:v>
      </x:c>
      <x:c r="C1" s="38" t="str">
        <x:v>payment_date</x:v>
      </x:c>
      <x:c r="D1" s="40" t="str">
        <x:v>amount_paid</x:v>
      </x:c>
      <x:c r="E1" s="22" t="str">
        <x:v>payment_status</x:v>
      </x:c>
    </x:row>
    <x:row r="2">
      <x:c r="A2" s="15" t="str">
        <x:v>PAY00001</x:v>
      </x:c>
      <x:c r="B2" s="15" t="str">
        <x:v>ORD00001</x:v>
      </x:c>
      <x:c r="C2" s="15" t="n">
        <x:v>45768</x:v>
      </x:c>
      <x:c r="D2" s="15" t="n">
        <x:v>22980.52</x:v>
      </x:c>
      <x:c r="E2" s="15" t="str">
        <x:v>Paid</x:v>
      </x:c>
    </x:row>
    <x:row r="3">
      <x:c r="A3" s="15" t="str">
        <x:v>PAY00002</x:v>
      </x:c>
      <x:c r="B3" s="15" t="str">
        <x:v>ORD00002</x:v>
      </x:c>
      <x:c r="C3" s="15" t="n">
        <x:v>46013</x:v>
      </x:c>
      <x:c r="D3" s="15" t="n">
        <x:v>63549.73</x:v>
      </x:c>
      <x:c r="E3" s="15" t="str">
        <x:v>Paid</x:v>
      </x:c>
    </x:row>
    <x:row r="4">
      <x:c r="A4" s="15" t="str">
        <x:v>PAY00003</x:v>
      </x:c>
      <x:c r="B4" s="15" t="str">
        <x:v>ORD00003</x:v>
      </x:c>
      <x:c r="C4" s="15" t="n">
        <x:v>45893</x:v>
      </x:c>
      <x:c r="D4" s="15" t="n">
        <x:v>70728.39</x:v>
      </x:c>
      <x:c r="E4" s="15" t="str">
        <x:v>Paid</x:v>
      </x:c>
    </x:row>
    <x:row r="5">
      <x:c r="A5" s="15" t="str">
        <x:v>PAY00004</x:v>
      </x:c>
      <x:c r="B5" s="15" t="str">
        <x:v>ORD00004</x:v>
      </x:c>
      <x:c r="C5" s="15" t="n">
        <x:v>45847</x:v>
      </x:c>
      <x:c r="D5" s="15" t="n">
        <x:v>29505.28</x:v>
      </x:c>
      <x:c r="E5" s="15" t="str">
        <x:v>Paid</x:v>
      </x:c>
    </x:row>
    <x:row r="6">
      <x:c r="A6" s="15" t="str">
        <x:v>PAY00005</x:v>
      </x:c>
      <x:c r="B6" s="15" t="str">
        <x:v>ORD00005</x:v>
      </x:c>
      <x:c r="C6" s="15" t="n">
        <x:v>45806</x:v>
      </x:c>
      <x:c r="D6" s="15" t="n">
        <x:v>111018.62</x:v>
      </x:c>
      <x:c r="E6" s="15" t="str">
        <x:v>Paid</x:v>
      </x:c>
    </x:row>
    <x:row r="7">
      <x:c r="A7" s="15" t="str">
        <x:v>PAY00006</x:v>
      </x:c>
      <x:c r="B7" s="15" t="str">
        <x:v>ORD00006</x:v>
      </x:c>
      <x:c r="C7" s="15" t="n">
        <x:v>46093</x:v>
      </x:c>
      <x:c r="D7" s="15" t="n">
        <x:v>9284.05</x:v>
      </x:c>
      <x:c r="E7" s="15" t="str">
        <x:v>Not Due</x:v>
      </x:c>
    </x:row>
    <x:row r="8">
      <x:c r="A8" s="15" t="str">
        <x:v>PAY00007</x:v>
      </x:c>
      <x:c r="B8" s="15" t="str">
        <x:v>ORD00007</x:v>
      </x:c>
      <x:c r="C8" s="15" t="n">
        <x:v>46052</x:v>
      </x:c>
      <x:c r="D8" s="15" t="n">
        <x:v>28872.16</x:v>
      </x:c>
      <x:c r="E8" s="15" t="str">
        <x:v>Not Due</x:v>
      </x:c>
    </x:row>
    <x:row r="9">
      <x:c r="A9" s="15" t="str">
        <x:v>PAY00008</x:v>
      </x:c>
      <x:c r="B9" s="15" t="str">
        <x:v>ORD00008</x:v>
      </x:c>
      <x:c r="C9" s="15" t="n">
        <x:v>46128</x:v>
      </x:c>
      <x:c r="D9" s="15" t="n">
        <x:v>101539.28</x:v>
      </x:c>
      <x:c r="E9" s="15" t="str">
        <x:v>Paid</x:v>
      </x:c>
    </x:row>
    <x:row r="10">
      <x:c r="A10" s="15" t="str">
        <x:v>PAY00009</x:v>
      </x:c>
      <x:c r="B10" s="15" t="str">
        <x:v>ORD00009</x:v>
      </x:c>
      <x:c r="C10" s="15" t="n">
        <x:v>46005</x:v>
      </x:c>
      <x:c r="D10" s="15" t="n">
        <x:v>49554.69</x:v>
      </x:c>
      <x:c r="E10" s="15" t="str">
        <x:v>Paid</x:v>
      </x:c>
    </x:row>
    <x:row r="11">
      <x:c r="A11" s="15" t="str">
        <x:v>PAY00010</x:v>
      </x:c>
      <x:c r="B11" s="15" t="str">
        <x:v>ORD00010</x:v>
      </x:c>
      <x:c r="C11" s="15" t="n">
        <x:v>46225</x:v>
      </x:c>
      <x:c r="D11" s="15" t="n">
        <x:v>0</x:v>
      </x:c>
      <x:c r="E11" s="15" t="str">
        <x:v>Overdue</x:v>
      </x:c>
    </x:row>
    <x:row r="12">
      <x:c r="A12" s="15" t="str">
        <x:v>PAY00011</x:v>
      </x:c>
      <x:c r="B12" s="15" t="str">
        <x:v>ORD00011</x:v>
      </x:c>
      <x:c r="C12" s="15" t="n">
        <x:v>45786</x:v>
      </x:c>
      <x:c r="D12" s="15" t="n">
        <x:v>26703.65</x:v>
      </x:c>
      <x:c r="E12" s="15" t="str">
        <x:v>Not Due</x:v>
      </x:c>
    </x:row>
    <x:row r="13">
      <x:c r="A13" s="15" t="str">
        <x:v>PAY00012</x:v>
      </x:c>
      <x:c r="B13" s="15" t="str">
        <x:v>ORD00012</x:v>
      </x:c>
      <x:c r="C13" s="15" t="n">
        <x:v>45866</x:v>
      </x:c>
      <x:c r="D13" s="15" t="n">
        <x:v>64073.85</x:v>
      </x:c>
      <x:c r="E13" s="15" t="str">
        <x:v>Paid</x:v>
      </x:c>
    </x:row>
    <x:row r="14">
      <x:c r="A14" s="15" t="str">
        <x:v>PAY00013</x:v>
      </x:c>
      <x:c r="B14" s="15" t="str">
        <x:v>ORD00013</x:v>
      </x:c>
      <x:c r="C14" s="15" t="n">
        <x:v>45961</x:v>
      </x:c>
      <x:c r="D14" s="15" t="n">
        <x:v>35418.6</x:v>
      </x:c>
      <x:c r="E14" s="15" t="str">
        <x:v>Paid</x:v>
      </x:c>
    </x:row>
    <x:row r="15">
      <x:c r="A15" s="15" t="str">
        <x:v>PAY00014</x:v>
      </x:c>
      <x:c r="B15" s="15" t="str">
        <x:v>ORD00014</x:v>
      </x:c>
      <x:c r="C15" s="15" t="n">
        <x:v>45756</x:v>
      </x:c>
      <x:c r="D15" s="15" t="n">
        <x:v>128537.67</x:v>
      </x:c>
      <x:c r="E15" s="15" t="str">
        <x:v>Paid</x:v>
      </x:c>
    </x:row>
    <x:row r="16">
      <x:c r="A16" s="15" t="str">
        <x:v>PAY00015</x:v>
      </x:c>
      <x:c r="B16" s="15" t="str">
        <x:v>ORD00015</x:v>
      </x:c>
      <x:c r="C16" s="15" t="n">
        <x:v>45770</x:v>
      </x:c>
      <x:c r="D16" s="15" t="n">
        <x:v>73747.43</x:v>
      </x:c>
      <x:c r="E16" s="15" t="str">
        <x:v>Paid</x:v>
      </x:c>
    </x:row>
    <x:row r="17">
      <x:c r="A17" s="15" t="str">
        <x:v>PAY00016</x:v>
      </x:c>
      <x:c r="B17" s="15" t="str">
        <x:v>ORD00016</x:v>
      </x:c>
      <x:c r="C17" s="15" t="n">
        <x:v>45798</x:v>
      </x:c>
      <x:c r="D17" s="15" t="n">
        <x:v>53004.42</x:v>
      </x:c>
      <x:c r="E17" s="15" t="str">
        <x:v>Paid</x:v>
      </x:c>
    </x:row>
    <x:row r="18">
      <x:c r="A18" s="15" t="str">
        <x:v>PAY00017</x:v>
      </x:c>
      <x:c r="B18" s="15" t="str">
        <x:v>ORD00017</x:v>
      </x:c>
      <x:c r="C18" s="15" t="n">
        <x:v>46120</x:v>
      </x:c>
      <x:c r="D18" s="15" t="n">
        <x:v>0</x:v>
      </x:c>
      <x:c r="E18" s="15" t="str">
        <x:v>Overdue</x:v>
      </x:c>
    </x:row>
    <x:row r="19">
      <x:c r="A19" s="15" t="str">
        <x:v>PAY00018</x:v>
      </x:c>
      <x:c r="B19" s="15" t="str">
        <x:v>ORD00018</x:v>
      </x:c>
      <x:c r="C19" s="15" t="n">
        <x:v>46157</x:v>
      </x:c>
      <x:c r="D19" s="15" t="n">
        <x:v>34178.85</x:v>
      </x:c>
      <x:c r="E19" s="15" t="str">
        <x:v>Paid</x:v>
      </x:c>
    </x:row>
    <x:row r="20">
      <x:c r="A20" s="15" t="str">
        <x:v>PAY00019</x:v>
      </x:c>
      <x:c r="B20" s="15" t="str">
        <x:v>ORD00019</x:v>
      </x:c>
      <x:c r="C20" s="15" t="n">
        <x:v>45882</x:v>
      </x:c>
      <x:c r="D20" s="15" t="n">
        <x:v>8534.48</x:v>
      </x:c>
      <x:c r="E20" s="15" t="str">
        <x:v>Paid</x:v>
      </x:c>
    </x:row>
    <x:row r="21">
      <x:c r="A21" s="15" t="str">
        <x:v>PAY00020</x:v>
      </x:c>
      <x:c r="B21" s="15" t="str">
        <x:v>ORD00020</x:v>
      </x:c>
      <x:c r="C21" s="15" t="n">
        <x:v>45770</x:v>
      </x:c>
      <x:c r="D21" s="15" t="n">
        <x:v>41043.58</x:v>
      </x:c>
      <x:c r="E21" s="15" t="str">
        <x:v>Overdue</x:v>
      </x:c>
    </x:row>
    <x:row r="22">
      <x:c r="A22" s="15" t="str">
        <x:v>PAY00021</x:v>
      </x:c>
      <x:c r="B22" s="15" t="str">
        <x:v>ORD00021</x:v>
      </x:c>
      <x:c r="C22" s="15" t="n">
        <x:v>45969</x:v>
      </x:c>
      <x:c r="D22" s="15" t="n">
        <x:v>16189.98</x:v>
      </x:c>
      <x:c r="E22" s="15" t="str">
        <x:v>Paid</x:v>
      </x:c>
    </x:row>
    <x:row r="23">
      <x:c r="A23" s="15" t="str">
        <x:v>PAY00022</x:v>
      </x:c>
      <x:c r="B23" s="15" t="str">
        <x:v>ORD00022</x:v>
      </x:c>
      <x:c r="C23" s="15" t="n">
        <x:v>45823</x:v>
      </x:c>
      <x:c r="D23" s="15" t="n">
        <x:v>46450.23</x:v>
      </x:c>
      <x:c r="E23" s="15" t="str">
        <x:v>Paid</x:v>
      </x:c>
    </x:row>
    <x:row r="24">
      <x:c r="A24" s="15" t="str">
        <x:v>PAY00023</x:v>
      </x:c>
      <x:c r="B24" s="15" t="str">
        <x:v>ORD00023</x:v>
      </x:c>
      <x:c r="C24" s="15" t="n">
        <x:v>45917</x:v>
      </x:c>
      <x:c r="D24" s="15" t="n">
        <x:v>36074.05</x:v>
      </x:c>
      <x:c r="E24" s="15" t="str">
        <x:v>Paid</x:v>
      </x:c>
    </x:row>
    <x:row r="25">
      <x:c r="A25" s="15" t="str">
        <x:v>PAY00024</x:v>
      </x:c>
      <x:c r="B25" s="15" t="str">
        <x:v>ORD00024</x:v>
      </x:c>
      <x:c r="C25" s="15" t="n">
        <x:v>46109</x:v>
      </x:c>
      <x:c r="D25" s="15" t="n">
        <x:v>19168.52</x:v>
      </x:c>
      <x:c r="E25" s="15" t="str">
        <x:v>Paid</x:v>
      </x:c>
    </x:row>
    <x:row r="26">
      <x:c r="A26" s="15" t="str">
        <x:v>PAY00025</x:v>
      </x:c>
      <x:c r="B26" s="15" t="str">
        <x:v>ORD00025</x:v>
      </x:c>
      <x:c r="C26" s="15" t="n">
        <x:v>46150</x:v>
      </x:c>
      <x:c r="D26" s="15" t="n">
        <x:v>24333.84</x:v>
      </x:c>
      <x:c r="E26" s="15" t="str">
        <x:v>Paid</x:v>
      </x:c>
    </x:row>
    <x:row r="27">
      <x:c r="A27" s="15" t="str">
        <x:v>PAY00026</x:v>
      </x:c>
      <x:c r="B27" s="15" t="str">
        <x:v>ORD00026</x:v>
      </x:c>
      <x:c r="C27" s="15" t="n">
        <x:v>46195</x:v>
      </x:c>
      <x:c r="D27" s="15" t="n">
        <x:v>79424.39</x:v>
      </x:c>
      <x:c r="E27" s="15" t="str">
        <x:v>Paid</x:v>
      </x:c>
    </x:row>
    <x:row r="28">
      <x:c r="A28" s="15" t="str">
        <x:v>PAY00027</x:v>
      </x:c>
      <x:c r="B28" s="15" t="str">
        <x:v>ORD00027</x:v>
      </x:c>
      <x:c r="C28" s="15" t="n">
        <x:v>45815</x:v>
      </x:c>
      <x:c r="D28" s="15" t="n">
        <x:v>66398.83</x:v>
      </x:c>
      <x:c r="E28" s="15" t="str">
        <x:v>Paid</x:v>
      </x:c>
    </x:row>
    <x:row r="29">
      <x:c r="A29" s="15" t="str">
        <x:v>PAY00028</x:v>
      </x:c>
      <x:c r="B29" s="15" t="str">
        <x:v>ORD00028</x:v>
      </x:c>
      <x:c r="C29" s="15" t="n">
        <x:v>45861</x:v>
      </x:c>
      <x:c r="D29" s="15" t="n">
        <x:v>128288.7</x:v>
      </x:c>
      <x:c r="E29" s="15" t="str">
        <x:v>Paid</x:v>
      </x:c>
    </x:row>
    <x:row r="30">
      <x:c r="A30" s="15" t="str">
        <x:v>PAY00029</x:v>
      </x:c>
      <x:c r="B30" s="15" t="str">
        <x:v>ORD00029</x:v>
      </x:c>
      <x:c r="C30" s="15" t="n">
        <x:v>46176</x:v>
      </x:c>
      <x:c r="D30" s="15" t="n">
        <x:v>97112.29</x:v>
      </x:c>
      <x:c r="E30" s="15" t="str">
        <x:v>Paid</x:v>
      </x:c>
    </x:row>
    <x:row r="31">
      <x:c r="A31" s="15" t="str">
        <x:v>PAY00030</x:v>
      </x:c>
      <x:c r="B31" s="15" t="str">
        <x:v>ORD00030</x:v>
      </x:c>
      <x:c r="C31" s="15" t="n">
        <x:v>45991</x:v>
      </x:c>
      <x:c r="D31" s="15" t="n">
        <x:v>17975.12</x:v>
      </x:c>
      <x:c r="E31" s="15" t="str">
        <x:v>Paid</x:v>
      </x:c>
    </x:row>
    <x:row r="32">
      <x:c r="A32" s="15" t="str">
        <x:v>PAY00031</x:v>
      </x:c>
      <x:c r="B32" s="15" t="str">
        <x:v>ORD00031</x:v>
      </x:c>
      <x:c r="C32" s="15" t="n">
        <x:v>45864</x:v>
      </x:c>
      <x:c r="D32" s="15" t="n">
        <x:v>117824.49</x:v>
      </x:c>
      <x:c r="E32" s="15" t="str">
        <x:v>Paid</x:v>
      </x:c>
    </x:row>
    <x:row r="33">
      <x:c r="A33" s="15" t="str">
        <x:v>PAY00032</x:v>
      </x:c>
      <x:c r="B33" s="15" t="str">
        <x:v>ORD00032</x:v>
      </x:c>
      <x:c r="C33" s="15" t="n">
        <x:v>45774</x:v>
      </x:c>
      <x:c r="D33" s="15" t="n">
        <x:v>27617.7</x:v>
      </x:c>
      <x:c r="E33" s="15" t="str">
        <x:v>Paid</x:v>
      </x:c>
    </x:row>
    <x:row r="34">
      <x:c r="A34" s="15" t="str">
        <x:v>PAY00033</x:v>
      </x:c>
      <x:c r="B34" s="15" t="str">
        <x:v>ORD00033</x:v>
      </x:c>
      <x:c r="C34" s="15" t="n">
        <x:v>45733</x:v>
      </x:c>
      <x:c r="D34" s="15" t="n">
        <x:v>40040.23</x:v>
      </x:c>
      <x:c r="E34" s="15" t="str">
        <x:v>Not Due</x:v>
      </x:c>
    </x:row>
    <x:row r="35">
      <x:c r="A35" s="15" t="str">
        <x:v>PAY00034</x:v>
      </x:c>
      <x:c r="B35" s="15" t="str">
        <x:v>ORD00034</x:v>
      </x:c>
      <x:c r="C35" s="15" t="n">
        <x:v>45776</x:v>
      </x:c>
      <x:c r="D35" s="15" t="n">
        <x:v>41619.34</x:v>
      </x:c>
      <x:c r="E35" s="15" t="str">
        <x:v>Paid</x:v>
      </x:c>
    </x:row>
    <x:row r="36">
      <x:c r="A36" s="15" t="str">
        <x:v>PAY00035</x:v>
      </x:c>
      <x:c r="B36" s="15" t="str">
        <x:v>ORD00035</x:v>
      </x:c>
      <x:c r="C36" s="15" t="n">
        <x:v>46016</x:v>
      </x:c>
      <x:c r="D36" s="15" t="n">
        <x:v>45369.01</x:v>
      </x:c>
      <x:c r="E36" s="15" t="str">
        <x:v>Not Due</x:v>
      </x:c>
    </x:row>
    <x:row r="37">
      <x:c r="A37" s="15" t="str">
        <x:v>PAY00036</x:v>
      </x:c>
      <x:c r="B37" s="15" t="str">
        <x:v>ORD00036</x:v>
      </x:c>
      <x:c r="C37" s="15" t="n">
        <x:v>46154</x:v>
      </x:c>
      <x:c r="D37" s="15" t="n">
        <x:v>58492.96</x:v>
      </x:c>
      <x:c r="E37" s="15" t="str">
        <x:v>Paid</x:v>
      </x:c>
    </x:row>
    <x:row r="38">
      <x:c r="A38" s="15" t="str">
        <x:v>PAY00037</x:v>
      </x:c>
      <x:c r="B38" s="15" t="str">
        <x:v>ORD00037</x:v>
      </x:c>
      <x:c r="C38" s="15" t="n">
        <x:v>45957</x:v>
      </x:c>
      <x:c r="D38" s="15" t="n">
        <x:v>55192.26</x:v>
      </x:c>
      <x:c r="E38" s="15" t="str">
        <x:v>Paid</x:v>
      </x:c>
    </x:row>
    <x:row r="39">
      <x:c r="A39" s="15" t="str">
        <x:v>PAY00038</x:v>
      </x:c>
      <x:c r="B39" s="15" t="str">
        <x:v>ORD00038</x:v>
      </x:c>
      <x:c r="C39" s="15" t="n">
        <x:v>46141</x:v>
      </x:c>
      <x:c r="D39" s="15" t="n">
        <x:v>70518.31</x:v>
      </x:c>
      <x:c r="E39" s="15" t="str">
        <x:v>Paid</x:v>
      </x:c>
    </x:row>
    <x:row r="40">
      <x:c r="A40" s="15" t="str">
        <x:v>PAY00039</x:v>
      </x:c>
      <x:c r="B40" s="15" t="str">
        <x:v>ORD00039</x:v>
      </x:c>
      <x:c r="C40" s="15" t="n">
        <x:v>45905</x:v>
      </x:c>
      <x:c r="D40" s="15" t="n">
        <x:v>69367.43</x:v>
      </x:c>
      <x:c r="E40" s="15" t="str">
        <x:v>Paid</x:v>
      </x:c>
    </x:row>
    <x:row r="41">
      <x:c r="A41" s="15" t="str">
        <x:v>PAY00040</x:v>
      </x:c>
      <x:c r="B41" s="15" t="str">
        <x:v>ORD00040</x:v>
      </x:c>
      <x:c r="C41" s="15" t="n">
        <x:v>45932</x:v>
      </x:c>
      <x:c r="D41" s="15" t="n">
        <x:v>0</x:v>
      </x:c>
      <x:c r="E41" s="15" t="str">
        <x:v>Not Due</x:v>
      </x:c>
    </x:row>
    <x:row r="42">
      <x:c r="A42" s="15" t="str">
        <x:v>PAY00041</x:v>
      </x:c>
      <x:c r="B42" s="15" t="str">
        <x:v>ORD00041</x:v>
      </x:c>
      <x:c r="C42" s="15" t="n">
        <x:v>45951</x:v>
      </x:c>
      <x:c r="D42" s="15" t="n">
        <x:v>34871.7</x:v>
      </x:c>
      <x:c r="E42" s="15" t="str">
        <x:v>Not Due</x:v>
      </x:c>
    </x:row>
    <x:row r="43">
      <x:c r="A43" s="15" t="str">
        <x:v>PAY00042</x:v>
      </x:c>
      <x:c r="B43" s="15" t="str">
        <x:v>ORD00042</x:v>
      </x:c>
      <x:c r="C43" s="15" t="n">
        <x:v>45826</x:v>
      </x:c>
      <x:c r="D43" s="15" t="n">
        <x:v>3446.52</x:v>
      </x:c>
      <x:c r="E43" s="15" t="str">
        <x:v>Paid</x:v>
      </x:c>
    </x:row>
    <x:row r="44">
      <x:c r="A44" s="15" t="str">
        <x:v>PAY00043</x:v>
      </x:c>
      <x:c r="B44" s="15" t="str">
        <x:v>ORD00043</x:v>
      </x:c>
      <x:c r="C44" s="15" t="n">
        <x:v>45759</x:v>
      </x:c>
      <x:c r="D44" s="15" t="n">
        <x:v>59927.49</x:v>
      </x:c>
      <x:c r="E44" s="15" t="str">
        <x:v>Paid</x:v>
      </x:c>
    </x:row>
    <x:row r="45">
      <x:c r="A45" s="15" t="str">
        <x:v>PAY00044</x:v>
      </x:c>
      <x:c r="B45" s="15" t="str">
        <x:v>ORD00044</x:v>
      </x:c>
      <x:c r="C45" s="15" t="n">
        <x:v>46050</x:v>
      </x:c>
      <x:c r="D45" s="15" t="n">
        <x:v>38330.88</x:v>
      </x:c>
      <x:c r="E45" s="15" t="str">
        <x:v>Not Due</x:v>
      </x:c>
    </x:row>
    <x:row r="46">
      <x:c r="A46" s="15" t="str">
        <x:v>PAY00045</x:v>
      </x:c>
      <x:c r="B46" s="15" t="str">
        <x:v>ORD00045</x:v>
      </x:c>
      <x:c r="C46" s="15" t="n">
        <x:v>46131</x:v>
      </x:c>
      <x:c r="D46" s="15" t="n">
        <x:v>17045.04</x:v>
      </x:c>
      <x:c r="E46" s="15" t="str">
        <x:v>Paid</x:v>
      </x:c>
    </x:row>
    <x:row r="47">
      <x:c r="A47" s="15" t="str">
        <x:v>PAY00046</x:v>
      </x:c>
      <x:c r="B47" s="15" t="str">
        <x:v>ORD00046</x:v>
      </x:c>
      <x:c r="C47" s="15" t="n">
        <x:v>46167</x:v>
      </x:c>
      <x:c r="D47" s="15" t="n">
        <x:v>81871.37</x:v>
      </x:c>
      <x:c r="E47" s="15" t="str">
        <x:v>Paid</x:v>
      </x:c>
    </x:row>
    <x:row r="48">
      <x:c r="A48" s="15" t="str">
        <x:v>PAY00047</x:v>
      </x:c>
      <x:c r="B48" s="15" t="str">
        <x:v>ORD00047</x:v>
      </x:c>
      <x:c r="C48" s="15" t="n">
        <x:v>45736</x:v>
      </x:c>
      <x:c r="D48" s="15" t="n">
        <x:v>21405.81</x:v>
      </x:c>
      <x:c r="E48" s="15" t="str">
        <x:v>Paid</x:v>
      </x:c>
    </x:row>
    <x:row r="49">
      <x:c r="A49" s="15" t="str">
        <x:v>PAY00048</x:v>
      </x:c>
      <x:c r="B49" s="15" t="str">
        <x:v>ORD00048</x:v>
      </x:c>
      <x:c r="C49" s="15" t="n">
        <x:v>46094</x:v>
      </x:c>
      <x:c r="D49" s="15" t="n">
        <x:v>66053.82</x:v>
      </x:c>
      <x:c r="E49" s="15" t="str">
        <x:v>Paid</x:v>
      </x:c>
    </x:row>
    <x:row r="50">
      <x:c r="A50" s="15" t="str">
        <x:v>PAY00049</x:v>
      </x:c>
      <x:c r="B50" s="15" t="str">
        <x:v>ORD00049</x:v>
      </x:c>
      <x:c r="C50" s="15" t="n">
        <x:v>46007</x:v>
      </x:c>
      <x:c r="D50" s="15" t="n">
        <x:v>46548.05</x:v>
      </x:c>
      <x:c r="E50" s="15" t="str">
        <x:v>Paid</x:v>
      </x:c>
    </x:row>
    <x:row r="51">
      <x:c r="A51" s="15" t="str">
        <x:v>PAY00050</x:v>
      </x:c>
      <x:c r="B51" s="15" t="str">
        <x:v>ORD00050</x:v>
      </x:c>
      <x:c r="C51" s="15" t="n">
        <x:v>45913</x:v>
      </x:c>
      <x:c r="D51" s="15" t="n">
        <x:v>0</x:v>
      </x:c>
      <x:c r="E51" s="15" t="str">
        <x:v>Not Due</x:v>
      </x:c>
    </x:row>
    <x:row r="52">
      <x:c r="A52" s="15" t="str">
        <x:v>PAY00051</x:v>
      </x:c>
      <x:c r="B52" s="15" t="str">
        <x:v>ORD00051</x:v>
      </x:c>
      <x:c r="C52" s="15" t="n">
        <x:v>45882</x:v>
      </x:c>
      <x:c r="D52" s="15" t="n">
        <x:v>86019.33</x:v>
      </x:c>
      <x:c r="E52" s="15" t="str">
        <x:v>Paid</x:v>
      </x:c>
    </x:row>
    <x:row r="53">
      <x:c r="A53" s="15" t="str">
        <x:v>PAY00052</x:v>
      </x:c>
      <x:c r="B53" s="15" t="str">
        <x:v>ORD00052</x:v>
      </x:c>
      <x:c r="C53" s="15" t="n">
        <x:v>45787</x:v>
      </x:c>
      <x:c r="D53" s="15" t="n">
        <x:v>4942.81</x:v>
      </x:c>
      <x:c r="E53" s="15" t="str">
        <x:v>Not Due</x:v>
      </x:c>
    </x:row>
    <x:row r="54">
      <x:c r="A54" s="15" t="str">
        <x:v>PAY00053</x:v>
      </x:c>
      <x:c r="B54" s="15" t="str">
        <x:v>ORD00053</x:v>
      </x:c>
      <x:c r="C54" s="15" t="n">
        <x:v>45822</x:v>
      </x:c>
      <x:c r="D54" s="15" t="n">
        <x:v>0</x:v>
      </x:c>
      <x:c r="E54" s="15" t="str">
        <x:v>Overdue</x:v>
      </x:c>
    </x:row>
    <x:row r="55">
      <x:c r="A55" s="15" t="str">
        <x:v>PAY00054</x:v>
      </x:c>
      <x:c r="B55" s="15" t="str">
        <x:v>ORD00054</x:v>
      </x:c>
      <x:c r="C55" s="15" t="n">
        <x:v>45915</x:v>
      </x:c>
      <x:c r="D55" s="15" t="n">
        <x:v>67774.71</x:v>
      </x:c>
      <x:c r="E55" s="15" t="str">
        <x:v>Paid</x:v>
      </x:c>
    </x:row>
    <x:row r="56">
      <x:c r="A56" s="15" t="str">
        <x:v>PAY00055</x:v>
      </x:c>
      <x:c r="B56" s="15" t="str">
        <x:v>ORD00055</x:v>
      </x:c>
      <x:c r="C56" s="15" t="n">
        <x:v>45860</x:v>
      </x:c>
      <x:c r="D56" s="15" t="n">
        <x:v>65912.52</x:v>
      </x:c>
      <x:c r="E56" s="15" t="str">
        <x:v>Paid</x:v>
      </x:c>
    </x:row>
    <x:row r="57">
      <x:c r="A57" s="15" t="str">
        <x:v>PAY00056</x:v>
      </x:c>
      <x:c r="B57" s="15" t="str">
        <x:v>ORD00056</x:v>
      </x:c>
      <x:c r="C57" s="15" t="n">
        <x:v>46205</x:v>
      </x:c>
      <x:c r="D57" s="15" t="n">
        <x:v>33463.84</x:v>
      </x:c>
      <x:c r="E57" s="15" t="str">
        <x:v>Not Due</x:v>
      </x:c>
    </x:row>
    <x:row r="58">
      <x:c r="A58" s="15" t="str">
        <x:v>PAY00057</x:v>
      </x:c>
      <x:c r="B58" s="15" t="str">
        <x:v>ORD00057</x:v>
      </x:c>
      <x:c r="C58" s="15" t="n">
        <x:v>46043</x:v>
      </x:c>
      <x:c r="D58" s="15" t="n">
        <x:v>141435.8</x:v>
      </x:c>
      <x:c r="E58" s="15" t="str">
        <x:v>Paid</x:v>
      </x:c>
    </x:row>
    <x:row r="59">
      <x:c r="A59" s="15" t="str">
        <x:v>PAY00058</x:v>
      </x:c>
      <x:c r="B59" s="15" t="str">
        <x:v>ORD00058</x:v>
      </x:c>
      <x:c r="C59" s="15" t="n">
        <x:v>46015</x:v>
      </x:c>
      <x:c r="D59" s="15" t="n">
        <x:v>71943.8</x:v>
      </x:c>
      <x:c r="E59" s="15" t="str">
        <x:v>Paid</x:v>
      </x:c>
    </x:row>
    <x:row r="60">
      <x:c r="A60" s="15" t="str">
        <x:v>PAY00059</x:v>
      </x:c>
      <x:c r="B60" s="15" t="str">
        <x:v>ORD00059</x:v>
      </x:c>
      <x:c r="C60" s="15" t="n">
        <x:v>45707</x:v>
      </x:c>
      <x:c r="D60" s="15" t="n">
        <x:v>68101.26</x:v>
      </x:c>
      <x:c r="E60" s="15" t="str">
        <x:v>Paid</x:v>
      </x:c>
    </x:row>
    <x:row r="61">
      <x:c r="A61" s="15" t="str">
        <x:v>PAY00060</x:v>
      </x:c>
      <x:c r="B61" s="15" t="str">
        <x:v>ORD00060</x:v>
      </x:c>
      <x:c r="C61" s="15" t="n">
        <x:v>46195</x:v>
      </x:c>
      <x:c r="D61" s="15" t="n">
        <x:v>36262.63</x:v>
      </x:c>
      <x:c r="E61" s="15" t="str">
        <x:v>Paid</x:v>
      </x:c>
    </x:row>
    <x:row r="62">
      <x:c r="A62" s="15" t="str">
        <x:v>PAY00061</x:v>
      </x:c>
      <x:c r="B62" s="15" t="str">
        <x:v>ORD00061</x:v>
      </x:c>
      <x:c r="C62" s="15" t="n">
        <x:v>45994</x:v>
      </x:c>
      <x:c r="D62" s="15" t="n">
        <x:v>6136.22</x:v>
      </x:c>
      <x:c r="E62" s="15" t="str">
        <x:v>Not Due</x:v>
      </x:c>
    </x:row>
    <x:row r="63">
      <x:c r="A63" s="15" t="str">
        <x:v>PAY00062</x:v>
      </x:c>
      <x:c r="B63" s="15" t="str">
        <x:v>ORD00062</x:v>
      </x:c>
      <x:c r="C63" s="15" t="n">
        <x:v>46108</x:v>
      </x:c>
      <x:c r="D63" s="15" t="n">
        <x:v>14270.54</x:v>
      </x:c>
      <x:c r="E63" s="15" t="str">
        <x:v>Paid</x:v>
      </x:c>
    </x:row>
    <x:row r="64">
      <x:c r="A64" s="15" t="str">
        <x:v>PAY00063</x:v>
      </x:c>
      <x:c r="B64" s="15" t="str">
        <x:v>ORD00063</x:v>
      </x:c>
      <x:c r="C64" s="15" t="n">
        <x:v>46045</x:v>
      </x:c>
      <x:c r="D64" s="15" t="n">
        <x:v>11546.07</x:v>
      </x:c>
      <x:c r="E64" s="15" t="str">
        <x:v>Paid</x:v>
      </x:c>
    </x:row>
    <x:row r="65">
      <x:c r="A65" s="15" t="str">
        <x:v>PAY00064</x:v>
      </x:c>
      <x:c r="B65" s="15" t="str">
        <x:v>ORD00064</x:v>
      </x:c>
      <x:c r="C65" s="15" t="n">
        <x:v>45754</x:v>
      </x:c>
      <x:c r="D65" s="15" t="n">
        <x:v>109665.42</x:v>
      </x:c>
      <x:c r="E65" s="15" t="str">
        <x:v>Paid</x:v>
      </x:c>
    </x:row>
    <x:row r="66">
      <x:c r="A66" s="15" t="str">
        <x:v>PAY00065</x:v>
      </x:c>
      <x:c r="B66" s="15" t="str">
        <x:v>ORD00065</x:v>
      </x:c>
      <x:c r="C66" s="15" t="n">
        <x:v>45842</x:v>
      </x:c>
      <x:c r="D66" s="15" t="n">
        <x:v>0</x:v>
      </x:c>
      <x:c r="E66" s="15" t="str">
        <x:v>Not Due</x:v>
      </x:c>
    </x:row>
    <x:row r="67">
      <x:c r="A67" s="15" t="str">
        <x:v>PAY00066</x:v>
      </x:c>
      <x:c r="B67" s="15" t="str">
        <x:v>ORD00066</x:v>
      </x:c>
      <x:c r="C67" s="15" t="n">
        <x:v>46215</x:v>
      </x:c>
      <x:c r="D67" s="15" t="n">
        <x:v>36324.55</x:v>
      </x:c>
      <x:c r="E67" s="15" t="str">
        <x:v>Not Due</x:v>
      </x:c>
    </x:row>
    <x:row r="68">
      <x:c r="A68" s="15" t="str">
        <x:v>PAY00067</x:v>
      </x:c>
      <x:c r="B68" s="15" t="str">
        <x:v>ORD00067</x:v>
      </x:c>
      <x:c r="C68" s="15" t="n">
        <x:v>45700</x:v>
      </x:c>
      <x:c r="D68" s="15" t="n">
        <x:v>79014.4</x:v>
      </x:c>
      <x:c r="E68" s="15" t="str">
        <x:v>Paid</x:v>
      </x:c>
    </x:row>
    <x:row r="69">
      <x:c r="A69" s="15" t="str">
        <x:v>PAY00068</x:v>
      </x:c>
      <x:c r="B69" s="15" t="str">
        <x:v>ORD00068</x:v>
      </x:c>
      <x:c r="C69" s="15" t="n">
        <x:v>45766</x:v>
      </x:c>
      <x:c r="D69" s="15" t="n">
        <x:v>1350.57</x:v>
      </x:c>
      <x:c r="E69" s="15" t="str">
        <x:v>Not Due</x:v>
      </x:c>
    </x:row>
    <x:row r="70">
      <x:c r="A70" s="15" t="str">
        <x:v>PAY00069</x:v>
      </x:c>
      <x:c r="B70" s="15" t="str">
        <x:v>ORD00069</x:v>
      </x:c>
      <x:c r="C70" s="15" t="n">
        <x:v>46146</x:v>
      </x:c>
      <x:c r="D70" s="15" t="n">
        <x:v>51834.6</x:v>
      </x:c>
      <x:c r="E70" s="15" t="str">
        <x:v>Paid</x:v>
      </x:c>
    </x:row>
    <x:row r="71">
      <x:c r="A71" s="15" t="str">
        <x:v>PAY00070</x:v>
      </x:c>
      <x:c r="B71" s="15" t="str">
        <x:v>ORD00070</x:v>
      </x:c>
      <x:c r="C71" s="15" t="n">
        <x:v>46134</x:v>
      </x:c>
      <x:c r="D71" s="15" t="n">
        <x:v>40512.54</x:v>
      </x:c>
      <x:c r="E71" s="15" t="str">
        <x:v>Paid</x:v>
      </x:c>
    </x:row>
    <x:row r="72">
      <x:c r="A72" s="15" t="str">
        <x:v>PAY00071</x:v>
      </x:c>
      <x:c r="B72" s="15" t="str">
        <x:v>ORD00071</x:v>
      </x:c>
      <x:c r="C72" s="15" t="n">
        <x:v>45838</x:v>
      </x:c>
      <x:c r="D72" s="15" t="n">
        <x:v>95103.22</x:v>
      </x:c>
      <x:c r="E72" s="15" t="str">
        <x:v>Paid</x:v>
      </x:c>
    </x:row>
    <x:row r="73">
      <x:c r="A73" s="15" t="str">
        <x:v>PAY00072</x:v>
      </x:c>
      <x:c r="B73" s="15" t="str">
        <x:v>ORD00072</x:v>
      </x:c>
      <x:c r="C73" s="15" t="n">
        <x:v>45796</x:v>
      </x:c>
      <x:c r="D73" s="15" t="n">
        <x:v>37938.46</x:v>
      </x:c>
      <x:c r="E73" s="15" t="str">
        <x:v>Paid</x:v>
      </x:c>
    </x:row>
    <x:row r="74">
      <x:c r="A74" s="15" t="str">
        <x:v>PAY00073</x:v>
      </x:c>
      <x:c r="B74" s="15" t="str">
        <x:v>ORD00073</x:v>
      </x:c>
      <x:c r="C74" s="15" t="n">
        <x:v>46088</x:v>
      </x:c>
      <x:c r="D74" s="15" t="n">
        <x:v>33023.58</x:v>
      </x:c>
      <x:c r="E74" s="15" t="str">
        <x:v>Paid</x:v>
      </x:c>
    </x:row>
    <x:row r="75">
      <x:c r="A75" s="15" t="str">
        <x:v>PAY00074</x:v>
      </x:c>
      <x:c r="B75" s="15" t="str">
        <x:v>ORD00074</x:v>
      </x:c>
      <x:c r="C75" s="15" t="n">
        <x:v>46159</x:v>
      </x:c>
      <x:c r="D75" s="15" t="n">
        <x:v>65722.31</x:v>
      </x:c>
      <x:c r="E75" s="15" t="str">
        <x:v>Paid</x:v>
      </x:c>
    </x:row>
    <x:row r="76">
      <x:c r="A76" s="15" t="str">
        <x:v>PAY00075</x:v>
      </x:c>
      <x:c r="B76" s="15" t="str">
        <x:v>ORD00075</x:v>
      </x:c>
      <x:c r="C76" s="15" t="n">
        <x:v>46012</x:v>
      </x:c>
      <x:c r="D76" s="15" t="n">
        <x:v>62542.97</x:v>
      </x:c>
      <x:c r="E76" s="15" t="str">
        <x:v>Not Due</x:v>
      </x:c>
    </x:row>
    <x:row r="77">
      <x:c r="A77" s="15" t="str">
        <x:v>PAY00076</x:v>
      </x:c>
      <x:c r="B77" s="15" t="str">
        <x:v>ORD00076</x:v>
      </x:c>
      <x:c r="C77" s="15" t="n">
        <x:v>45732</x:v>
      </x:c>
      <x:c r="D77" s="15" t="n">
        <x:v>12471.68</x:v>
      </x:c>
      <x:c r="E77" s="15" t="str">
        <x:v>Paid</x:v>
      </x:c>
    </x:row>
    <x:row r="78">
      <x:c r="A78" s="15" t="str">
        <x:v>PAY00077</x:v>
      </x:c>
      <x:c r="B78" s="15" t="str">
        <x:v>ORD00077</x:v>
      </x:c>
      <x:c r="C78" s="15" t="n">
        <x:v>46095</x:v>
      </x:c>
      <x:c r="D78" s="15" t="n">
        <x:v>5637.28</x:v>
      </x:c>
      <x:c r="E78" s="15" t="str">
        <x:v>Not Due</x:v>
      </x:c>
    </x:row>
    <x:row r="79">
      <x:c r="A79" s="15" t="str">
        <x:v>PAY00078</x:v>
      </x:c>
      <x:c r="B79" s="15" t="str">
        <x:v>ORD00078</x:v>
      </x:c>
      <x:c r="C79" s="15" t="n">
        <x:v>45789</x:v>
      </x:c>
      <x:c r="D79" s="15" t="n">
        <x:v>60868.6</x:v>
      </x:c>
      <x:c r="E79" s="15" t="str">
        <x:v>Paid</x:v>
      </x:c>
    </x:row>
    <x:row r="80">
      <x:c r="A80" s="15" t="str">
        <x:v>PAY00079</x:v>
      </x:c>
      <x:c r="B80" s="15" t="str">
        <x:v>ORD00079</x:v>
      </x:c>
      <x:c r="C80" s="15" t="n">
        <x:v>45858</x:v>
      </x:c>
      <x:c r="D80" s="15" t="n">
        <x:v>95978.51</x:v>
      </x:c>
      <x:c r="E80" s="15" t="str">
        <x:v>Paid</x:v>
      </x:c>
    </x:row>
    <x:row r="81">
      <x:c r="A81" s="15" t="str">
        <x:v>PAY00080</x:v>
      </x:c>
      <x:c r="B81" s="15" t="str">
        <x:v>ORD00080</x:v>
      </x:c>
      <x:c r="C81" s="15" t="n">
        <x:v>46170</x:v>
      </x:c>
      <x:c r="D81" s="15" t="n">
        <x:v>105061.65</x:v>
      </x:c>
      <x:c r="E81" s="15" t="str">
        <x:v>Paid</x:v>
      </x:c>
    </x:row>
    <x:row r="82">
      <x:c r="A82" s="15" t="str">
        <x:v>PAY00081</x:v>
      </x:c>
      <x:c r="B82" s="15" t="str">
        <x:v>ORD00081</x:v>
      </x:c>
      <x:c r="C82" s="15" t="n">
        <x:v>45986</x:v>
      </x:c>
      <x:c r="D82" s="15" t="n">
        <x:v>122789.48</x:v>
      </x:c>
      <x:c r="E82" s="15" t="str">
        <x:v>Paid</x:v>
      </x:c>
    </x:row>
    <x:row r="83">
      <x:c r="A83" s="15" t="str">
        <x:v>PAY00082</x:v>
      </x:c>
      <x:c r="B83" s="15" t="str">
        <x:v>ORD00082</x:v>
      </x:c>
      <x:c r="C83" s="15" t="n">
        <x:v>46116</x:v>
      </x:c>
      <x:c r="D83" s="15" t="n">
        <x:v>23401.42</x:v>
      </x:c>
      <x:c r="E83" s="15" t="str">
        <x:v>Paid</x:v>
      </x:c>
    </x:row>
    <x:row r="84">
      <x:c r="A84" s="15" t="str">
        <x:v>PAY00083</x:v>
      </x:c>
      <x:c r="B84" s="15" t="str">
        <x:v>ORD00083</x:v>
      </x:c>
      <x:c r="C84" s="15" t="n">
        <x:v>46070</x:v>
      </x:c>
      <x:c r="D84" s="15" t="n">
        <x:v>77456.81</x:v>
      </x:c>
      <x:c r="E84" s="15" t="str">
        <x:v>Paid</x:v>
      </x:c>
    </x:row>
    <x:row r="85">
      <x:c r="A85" s="15" t="str">
        <x:v>PAY00084</x:v>
      </x:c>
      <x:c r="B85" s="15" t="str">
        <x:v>ORD00084</x:v>
      </x:c>
      <x:c r="C85" s="15" t="n">
        <x:v>46073</x:v>
      </x:c>
      <x:c r="D85" s="15" t="n">
        <x:v>68772.6</x:v>
      </x:c>
      <x:c r="E85" s="15" t="str">
        <x:v>Paid</x:v>
      </x:c>
    </x:row>
    <x:row r="86">
      <x:c r="A86" s="15" t="str">
        <x:v>PAY00085</x:v>
      </x:c>
      <x:c r="B86" s="15" t="str">
        <x:v>ORD00085</x:v>
      </x:c>
      <x:c r="C86" s="15" t="n">
        <x:v>45782</x:v>
      </x:c>
      <x:c r="D86" s="15" t="n">
        <x:v>0</x:v>
      </x:c>
      <x:c r="E86" s="15" t="str">
        <x:v>Not Due</x:v>
      </x:c>
    </x:row>
    <x:row r="87">
      <x:c r="A87" s="15" t="str">
        <x:v>PAY00086</x:v>
      </x:c>
      <x:c r="B87" s="15" t="str">
        <x:v>ORD00086</x:v>
      </x:c>
      <x:c r="C87" s="15" t="n">
        <x:v>46172</x:v>
      </x:c>
      <x:c r="D87" s="15" t="n">
        <x:v>73151.44</x:v>
      </x:c>
      <x:c r="E87" s="15" t="str">
        <x:v>Paid</x:v>
      </x:c>
    </x:row>
    <x:row r="88">
      <x:c r="A88" s="15" t="str">
        <x:v>PAY00087</x:v>
      </x:c>
      <x:c r="B88" s="15" t="str">
        <x:v>ORD00087</x:v>
      </x:c>
      <x:c r="C88" s="15" t="n">
        <x:v>46034</x:v>
      </x:c>
      <x:c r="D88" s="15" t="n">
        <x:v>0</x:v>
      </x:c>
      <x:c r="E88" s="15" t="str">
        <x:v>Not Due</x:v>
      </x:c>
    </x:row>
    <x:row r="89">
      <x:c r="A89" s="15" t="str">
        <x:v>PAY00088</x:v>
      </x:c>
      <x:c r="B89" s="15" t="str">
        <x:v>ORD00088</x:v>
      </x:c>
      <x:c r="C89" s="15" t="n">
        <x:v>46164</x:v>
      </x:c>
      <x:c r="D89" s="15" t="n">
        <x:v>24903.66</x:v>
      </x:c>
      <x:c r="E89" s="15" t="str">
        <x:v>Not Due</x:v>
      </x:c>
    </x:row>
    <x:row r="90">
      <x:c r="A90" s="15" t="str">
        <x:v>PAY00089</x:v>
      </x:c>
      <x:c r="B90" s="15" t="str">
        <x:v>ORD00089</x:v>
      </x:c>
      <x:c r="C90" s="15" t="n">
        <x:v>45913</x:v>
      </x:c>
      <x:c r="D90" s="15" t="n">
        <x:v>106505.7</x:v>
      </x:c>
      <x:c r="E90" s="15" t="str">
        <x:v>Paid</x:v>
      </x:c>
    </x:row>
    <x:row r="91">
      <x:c r="A91" s="15" t="str">
        <x:v>PAY00090</x:v>
      </x:c>
      <x:c r="B91" s="15" t="str">
        <x:v>ORD00090</x:v>
      </x:c>
      <x:c r="C91" s="15" t="n">
        <x:v>45797</x:v>
      </x:c>
      <x:c r="D91" s="15" t="n">
        <x:v>4817.42</x:v>
      </x:c>
      <x:c r="E91" s="15" t="str">
        <x:v>Not Due</x:v>
      </x:c>
    </x:row>
    <x:row r="92">
      <x:c r="A92" s="15" t="str">
        <x:v>PAY00091</x:v>
      </x:c>
      <x:c r="B92" s="15" t="str">
        <x:v>ORD00091</x:v>
      </x:c>
      <x:c r="C92" s="15" t="n">
        <x:v>46123</x:v>
      </x:c>
      <x:c r="D92" s="15" t="n">
        <x:v>45629.52</x:v>
      </x:c>
      <x:c r="E92" s="15" t="str">
        <x:v>Overdue</x:v>
      </x:c>
    </x:row>
    <x:row r="93">
      <x:c r="A93" s="15" t="str">
        <x:v>PAY00092</x:v>
      </x:c>
      <x:c r="B93" s="15" t="str">
        <x:v>ORD00092</x:v>
      </x:c>
      <x:c r="C93" s="15" t="n">
        <x:v>46194</x:v>
      </x:c>
      <x:c r="D93" s="15" t="n">
        <x:v>6338.11</x:v>
      </x:c>
      <x:c r="E93" s="15" t="str">
        <x:v>Not Due</x:v>
      </x:c>
    </x:row>
    <x:row r="94">
      <x:c r="A94" s="15" t="str">
        <x:v>PAY00093</x:v>
      </x:c>
      <x:c r="B94" s="15" t="str">
        <x:v>ORD00093</x:v>
      </x:c>
      <x:c r="C94" s="15" t="n">
        <x:v>45841</x:v>
      </x:c>
      <x:c r="D94" s="15" t="n">
        <x:v>53966.61</x:v>
      </x:c>
      <x:c r="E94" s="15" t="str">
        <x:v>Paid</x:v>
      </x:c>
    </x:row>
    <x:row r="95">
      <x:c r="A95" s="15" t="str">
        <x:v>PAY00094</x:v>
      </x:c>
      <x:c r="B95" s="15" t="str">
        <x:v>ORD00094</x:v>
      </x:c>
      <x:c r="C95" s="15" t="n">
        <x:v>45870</x:v>
      </x:c>
      <x:c r="D95" s="15" t="n">
        <x:v>69691.77</x:v>
      </x:c>
      <x:c r="E95" s="15" t="str">
        <x:v>Paid</x:v>
      </x:c>
    </x:row>
    <x:row r="96">
      <x:c r="A96" s="15" t="str">
        <x:v>PAY00095</x:v>
      </x:c>
      <x:c r="B96" s="15" t="str">
        <x:v>ORD00095</x:v>
      </x:c>
      <x:c r="C96" s="15" t="n">
        <x:v>45865</x:v>
      </x:c>
      <x:c r="D96" s="15" t="n">
        <x:v>54427.52</x:v>
      </x:c>
      <x:c r="E96" s="15" t="str">
        <x:v>Paid</x:v>
      </x:c>
    </x:row>
    <x:row r="97">
      <x:c r="A97" s="15" t="str">
        <x:v>PAY00096</x:v>
      </x:c>
      <x:c r="B97" s="15" t="str">
        <x:v>ORD00096</x:v>
      </x:c>
      <x:c r="C97" s="15" t="n">
        <x:v>45871</x:v>
      </x:c>
      <x:c r="D97" s="15" t="n">
        <x:v>95236.72</x:v>
      </x:c>
      <x:c r="E97" s="15" t="str">
        <x:v>Paid</x:v>
      </x:c>
    </x:row>
    <x:row r="98">
      <x:c r="A98" s="15" t="str">
        <x:v>PAY00097</x:v>
      </x:c>
      <x:c r="B98" s="15" t="str">
        <x:v>ORD00097</x:v>
      </x:c>
      <x:c r="C98" s="15" t="n">
        <x:v>45738</x:v>
      </x:c>
      <x:c r="D98" s="15" t="n">
        <x:v>77535.91</x:v>
      </x:c>
      <x:c r="E98" s="15" t="str">
        <x:v>Paid</x:v>
      </x:c>
    </x:row>
    <x:row r="99">
      <x:c r="A99" s="15" t="str">
        <x:v>PAY00098</x:v>
      </x:c>
      <x:c r="B99" s="15" t="str">
        <x:v>ORD00098</x:v>
      </x:c>
      <x:c r="C99" s="15" t="n">
        <x:v>46121</x:v>
      </x:c>
      <x:c r="D99" s="15" t="n">
        <x:v>0</x:v>
      </x:c>
      <x:c r="E99" s="15" t="str">
        <x:v>Overdue</x:v>
      </x:c>
    </x:row>
    <x:row r="100">
      <x:c r="A100" s="15" t="str">
        <x:v>PAY00099</x:v>
      </x:c>
      <x:c r="B100" s="15" t="str">
        <x:v>ORD00099</x:v>
      </x:c>
      <x:c r="C100" s="15" t="n">
        <x:v>45721</x:v>
      </x:c>
      <x:c r="D100" s="15" t="n">
        <x:v>121244.96</x:v>
      </x:c>
      <x:c r="E100" s="15" t="str">
        <x:v>Paid</x:v>
      </x:c>
    </x:row>
    <x:row r="101">
      <x:c r="A101" s="15" t="str">
        <x:v>PAY00100</x:v>
      </x:c>
      <x:c r="B101" s="15" t="str">
        <x:v>ORD00100</x:v>
      </x:c>
      <x:c r="C101" s="15" t="n">
        <x:v>46085</x:v>
      </x:c>
      <x:c r="D101" s="15" t="n">
        <x:v>66866.21</x:v>
      </x:c>
      <x:c r="E101" s="15" t="str">
        <x:v>Paid</x:v>
      </x:c>
    </x:row>
    <x:row r="102">
      <x:c r="A102" s="15" t="str">
        <x:v>PAY00101</x:v>
      </x:c>
      <x:c r="B102" s="15" t="str">
        <x:v>ORD00101</x:v>
      </x:c>
      <x:c r="C102" s="15" t="n">
        <x:v>45759</x:v>
      </x:c>
      <x:c r="D102" s="15" t="n">
        <x:v>15845.52</x:v>
      </x:c>
      <x:c r="E102" s="15" t="str">
        <x:v>Paid</x:v>
      </x:c>
    </x:row>
    <x:row r="103">
      <x:c r="A103" s="15" t="str">
        <x:v>PAY00102</x:v>
      </x:c>
      <x:c r="B103" s="15" t="str">
        <x:v>ORD00102</x:v>
      </x:c>
      <x:c r="C103" s="15" t="n">
        <x:v>46141</x:v>
      </x:c>
      <x:c r="D103" s="15" t="n">
        <x:v>98594.72</x:v>
      </x:c>
      <x:c r="E103" s="15" t="str">
        <x:v>Paid</x:v>
      </x:c>
    </x:row>
    <x:row r="104">
      <x:c r="A104" s="15" t="str">
        <x:v>PAY00103</x:v>
      </x:c>
      <x:c r="B104" s="15" t="str">
        <x:v>ORD00103</x:v>
      </x:c>
      <x:c r="C104" s="15" t="n">
        <x:v>45743</x:v>
      </x:c>
      <x:c r="D104" s="15" t="n">
        <x:v>61407.1</x:v>
      </x:c>
      <x:c r="E104" s="15" t="str">
        <x:v>Paid</x:v>
      </x:c>
    </x:row>
    <x:row r="105">
      <x:c r="A105" s="15" t="str">
        <x:v>PAY00104</x:v>
      </x:c>
      <x:c r="B105" s="15" t="str">
        <x:v>ORD00104</x:v>
      </x:c>
      <x:c r="C105" s="15" t="n">
        <x:v>46051</x:v>
      </x:c>
      <x:c r="D105" s="15" t="n">
        <x:v>78123.73</x:v>
      </x:c>
      <x:c r="E105" s="15" t="str">
        <x:v>Paid</x:v>
      </x:c>
    </x:row>
    <x:row r="106">
      <x:c r="A106" s="15" t="str">
        <x:v>PAY00105</x:v>
      </x:c>
      <x:c r="B106" s="15" t="str">
        <x:v>ORD00105</x:v>
      </x:c>
      <x:c r="C106" s="15" t="n">
        <x:v>45928</x:v>
      </x:c>
      <x:c r="D106" s="15" t="n">
        <x:v>51602.57</x:v>
      </x:c>
      <x:c r="E106" s="15" t="str">
        <x:v>Paid</x:v>
      </x:c>
    </x:row>
    <x:row r="107">
      <x:c r="A107" s="15" t="str">
        <x:v>PAY00106</x:v>
      </x:c>
      <x:c r="B107" s="15" t="str">
        <x:v>ORD00106</x:v>
      </x:c>
      <x:c r="C107" s="15" t="n">
        <x:v>45938</x:v>
      </x:c>
      <x:c r="D107" s="15" t="n">
        <x:v>27983.42</x:v>
      </x:c>
      <x:c r="E107" s="15" t="str">
        <x:v>Not Due</x:v>
      </x:c>
    </x:row>
    <x:row r="108">
      <x:c r="A108" s="15" t="str">
        <x:v>PAY00107</x:v>
      </x:c>
      <x:c r="B108" s="15" t="str">
        <x:v>ORD00107</x:v>
      </x:c>
      <x:c r="C108" s="15" t="n">
        <x:v>46129</x:v>
      </x:c>
      <x:c r="D108" s="15" t="n">
        <x:v>38648.55</x:v>
      </x:c>
      <x:c r="E108" s="15" t="str">
        <x:v>Paid</x:v>
      </x:c>
    </x:row>
    <x:row r="109">
      <x:c r="A109" s="15" t="str">
        <x:v>PAY00108</x:v>
      </x:c>
      <x:c r="B109" s="15" t="str">
        <x:v>ORD00108</x:v>
      </x:c>
      <x:c r="C109" s="15" t="n">
        <x:v>46030</x:v>
      </x:c>
      <x:c r="D109" s="15" t="n">
        <x:v>111355.04</x:v>
      </x:c>
      <x:c r="E109" s="15" t="str">
        <x:v>Paid</x:v>
      </x:c>
    </x:row>
    <x:row r="110">
      <x:c r="A110" s="15" t="str">
        <x:v>PAY00109</x:v>
      </x:c>
      <x:c r="B110" s="15" t="str">
        <x:v>ORD00109</x:v>
      </x:c>
      <x:c r="C110" s="15" t="n">
        <x:v>45863</x:v>
      </x:c>
      <x:c r="D110" s="15" t="n">
        <x:v>63232.65</x:v>
      </x:c>
      <x:c r="E110" s="15" t="str">
        <x:v>Paid</x:v>
      </x:c>
    </x:row>
    <x:row r="111">
      <x:c r="A111" s="15" t="str">
        <x:v>PAY00110</x:v>
      </x:c>
      <x:c r="B111" s="15" t="str">
        <x:v>ORD00110</x:v>
      </x:c>
      <x:c r="C111" s="15" t="n">
        <x:v>45771</x:v>
      </x:c>
      <x:c r="D111" s="15" t="n">
        <x:v>10701.15</x:v>
      </x:c>
      <x:c r="E111" s="15" t="str">
        <x:v>Paid</x:v>
      </x:c>
    </x:row>
    <x:row r="112">
      <x:c r="A112" s="15" t="str">
        <x:v>PAY00111</x:v>
      </x:c>
      <x:c r="B112" s="15" t="str">
        <x:v>ORD00111</x:v>
      </x:c>
      <x:c r="C112" s="15" t="n">
        <x:v>46071</x:v>
      </x:c>
      <x:c r="D112" s="15" t="n">
        <x:v>21393.77</x:v>
      </x:c>
      <x:c r="E112" s="15" t="str">
        <x:v>Paid</x:v>
      </x:c>
    </x:row>
    <x:row r="113">
      <x:c r="A113" s="15" t="str">
        <x:v>PAY00112</x:v>
      </x:c>
      <x:c r="B113" s="15" t="str">
        <x:v>ORD00112</x:v>
      </x:c>
      <x:c r="C113" s="15" t="n">
        <x:v>45867</x:v>
      </x:c>
      <x:c r="D113" s="15" t="n">
        <x:v>29525.21</x:v>
      </x:c>
      <x:c r="E113" s="15" t="str">
        <x:v>Paid</x:v>
      </x:c>
    </x:row>
    <x:row r="114">
      <x:c r="A114" s="15" t="str">
        <x:v>PAY00113</x:v>
      </x:c>
      <x:c r="B114" s="15" t="str">
        <x:v>ORD00113</x:v>
      </x:c>
      <x:c r="C114" s="15" t="n">
        <x:v>46193</x:v>
      </x:c>
      <x:c r="D114" s="15" t="n">
        <x:v>6214.88</x:v>
      </x:c>
      <x:c r="E114" s="15" t="str">
        <x:v>Paid</x:v>
      </x:c>
    </x:row>
    <x:row r="115">
      <x:c r="A115" s="15" t="str">
        <x:v>PAY00114</x:v>
      </x:c>
      <x:c r="B115" s="15" t="str">
        <x:v>ORD00114</x:v>
      </x:c>
      <x:c r="C115" s="15" t="n">
        <x:v>46006</x:v>
      </x:c>
      <x:c r="D115" s="15" t="n">
        <x:v>95174.56</x:v>
      </x:c>
      <x:c r="E115" s="15" t="str">
        <x:v>Paid</x:v>
      </x:c>
    </x:row>
    <x:row r="116">
      <x:c r="A116" s="15" t="str">
        <x:v>PAY00115</x:v>
      </x:c>
      <x:c r="B116" s="15" t="str">
        <x:v>ORD00115</x:v>
      </x:c>
      <x:c r="C116" s="15" t="n">
        <x:v>45708</x:v>
      </x:c>
      <x:c r="D116" s="15" t="n">
        <x:v>53298.14</x:v>
      </x:c>
      <x:c r="E116" s="15" t="str">
        <x:v>Paid</x:v>
      </x:c>
    </x:row>
    <x:row r="117">
      <x:c r="A117" s="15" t="str">
        <x:v>PAY00116</x:v>
      </x:c>
      <x:c r="B117" s="15" t="str">
        <x:v>ORD00116</x:v>
      </x:c>
      <x:c r="C117" s="15" t="n">
        <x:v>45743</x:v>
      </x:c>
      <x:c r="D117" s="15" t="n">
        <x:v>108362.26</x:v>
      </x:c>
      <x:c r="E117" s="15" t="str">
        <x:v>Paid</x:v>
      </x:c>
    </x:row>
    <x:row r="118">
      <x:c r="A118" s="15" t="str">
        <x:v>PAY00117</x:v>
      </x:c>
      <x:c r="B118" s="15" t="str">
        <x:v>ORD00117</x:v>
      </x:c>
      <x:c r="C118" s="15" t="n">
        <x:v>45830</x:v>
      </x:c>
      <x:c r="D118" s="15" t="n">
        <x:v>92665.44</x:v>
      </x:c>
      <x:c r="E118" s="15" t="str">
        <x:v>Paid</x:v>
      </x:c>
    </x:row>
    <x:row r="119">
      <x:c r="A119" s="15" t="str">
        <x:v>PAY00118</x:v>
      </x:c>
      <x:c r="B119" s="15" t="str">
        <x:v>ORD00118</x:v>
      </x:c>
      <x:c r="C119" s="15" t="n">
        <x:v>46148</x:v>
      </x:c>
      <x:c r="D119" s="15" t="n">
        <x:v>50333.09</x:v>
      </x:c>
      <x:c r="E119" s="15" t="str">
        <x:v>Paid</x:v>
      </x:c>
    </x:row>
    <x:row r="120">
      <x:c r="A120" s="15" t="str">
        <x:v>PAY00119</x:v>
      </x:c>
      <x:c r="B120" s="15" t="str">
        <x:v>ORD00119</x:v>
      </x:c>
      <x:c r="C120" s="15" t="n">
        <x:v>45786</x:v>
      </x:c>
      <x:c r="D120" s="15" t="n">
        <x:v>59927.49</x:v>
      </x:c>
      <x:c r="E120" s="15" t="str">
        <x:v>Paid</x:v>
      </x:c>
    </x:row>
    <x:row r="121">
      <x:c r="A121" s="15" t="str">
        <x:v>PAY00120</x:v>
      </x:c>
      <x:c r="B121" s="15" t="str">
        <x:v>ORD00120</x:v>
      </x:c>
      <x:c r="C121" s="15" t="n">
        <x:v>46129</x:v>
      </x:c>
      <x:c r="D121" s="15" t="n">
        <x:v>95075.39</x:v>
      </x:c>
      <x:c r="E121" s="15" t="str">
        <x:v>Paid</x:v>
      </x:c>
    </x:row>
    <x:row r="122">
      <x:c r="A122" s="15" t="str">
        <x:v>PAY00121</x:v>
      </x:c>
      <x:c r="B122" s="15" t="str">
        <x:v>ORD00121</x:v>
      </x:c>
      <x:c r="C122" s="15" t="n">
        <x:v>46157</x:v>
      </x:c>
      <x:c r="D122" s="15" t="n">
        <x:v>43972.17</x:v>
      </x:c>
      <x:c r="E122" s="15" t="str">
        <x:v>Paid</x:v>
      </x:c>
    </x:row>
    <x:row r="123">
      <x:c r="A123" s="15" t="str">
        <x:v>PAY00122</x:v>
      </x:c>
      <x:c r="B123" s="15" t="str">
        <x:v>ORD00122</x:v>
      </x:c>
      <x:c r="C123" s="15" t="n">
        <x:v>45673</x:v>
      </x:c>
      <x:c r="D123" s="15" t="n">
        <x:v>46807.91</x:v>
      </x:c>
      <x:c r="E123" s="15" t="str">
        <x:v>Paid</x:v>
      </x:c>
    </x:row>
    <x:row r="124">
      <x:c r="A124" s="15" t="str">
        <x:v>PAY00123</x:v>
      </x:c>
      <x:c r="B124" s="15" t="str">
        <x:v>ORD00123</x:v>
      </x:c>
      <x:c r="C124" s="15" t="n">
        <x:v>45715</x:v>
      </x:c>
      <x:c r="D124" s="15" t="n">
        <x:v>37604.51</x:v>
      </x:c>
      <x:c r="E124" s="15" t="str">
        <x:v>Paid</x:v>
      </x:c>
    </x:row>
    <x:row r="125">
      <x:c r="A125" s="15" t="str">
        <x:v>PAY00124</x:v>
      </x:c>
      <x:c r="B125" s="15" t="str">
        <x:v>ORD00124</x:v>
      </x:c>
      <x:c r="C125" s="15" t="n">
        <x:v>45962</x:v>
      </x:c>
      <x:c r="D125" s="15" t="n">
        <x:v>42811.62</x:v>
      </x:c>
      <x:c r="E125" s="15" t="str">
        <x:v>Paid</x:v>
      </x:c>
    </x:row>
    <x:row r="126">
      <x:c r="A126" s="15" t="str">
        <x:v>PAY00125</x:v>
      </x:c>
      <x:c r="B126" s="15" t="str">
        <x:v>ORD00125</x:v>
      </x:c>
      <x:c r="C126" s="15" t="n">
        <x:v>45959</x:v>
      </x:c>
      <x:c r="D126" s="15" t="n">
        <x:v>98021.3</x:v>
      </x:c>
      <x:c r="E126" s="15" t="str">
        <x:v>Paid</x:v>
      </x:c>
    </x:row>
    <x:row r="127">
      <x:c r="A127" s="15" t="str">
        <x:v>PAY00126</x:v>
      </x:c>
      <x:c r="B127" s="15" t="str">
        <x:v>ORD00126</x:v>
      </x:c>
      <x:c r="C127" s="15" t="n">
        <x:v>45777</x:v>
      </x:c>
      <x:c r="D127" s="15" t="n">
        <x:v>30972.28</x:v>
      </x:c>
      <x:c r="E127" s="15" t="str">
        <x:v>Paid</x:v>
      </x:c>
    </x:row>
    <x:row r="128">
      <x:c r="A128" s="15" t="str">
        <x:v>PAY00127</x:v>
      </x:c>
      <x:c r="B128" s="15" t="str">
        <x:v>ORD00127</x:v>
      </x:c>
      <x:c r="C128" s="15" t="n">
        <x:v>46034</x:v>
      </x:c>
      <x:c r="D128" s="15" t="n">
        <x:v>48878.2</x:v>
      </x:c>
      <x:c r="E128" s="15" t="str">
        <x:v>Not Due</x:v>
      </x:c>
    </x:row>
    <x:row r="129">
      <x:c r="A129" s="15" t="str">
        <x:v>PAY00128</x:v>
      </x:c>
      <x:c r="B129" s="15" t="str">
        <x:v>ORD00128</x:v>
      </x:c>
      <x:c r="C129" s="15" t="n">
        <x:v>45769</x:v>
      </x:c>
      <x:c r="D129" s="15" t="n">
        <x:v>0</x:v>
      </x:c>
      <x:c r="E129" s="15" t="str">
        <x:v>Not Due</x:v>
      </x:c>
    </x:row>
    <x:row r="130">
      <x:c r="A130" s="15" t="str">
        <x:v>PAY00129</x:v>
      </x:c>
      <x:c r="B130" s="15" t="str">
        <x:v>ORD00129</x:v>
      </x:c>
      <x:c r="C130" s="15" t="n">
        <x:v>45930</x:v>
      </x:c>
      <x:c r="D130" s="15" t="n">
        <x:v>52615.59</x:v>
      </x:c>
      <x:c r="E130" s="15" t="str">
        <x:v>Not Due</x:v>
      </x:c>
    </x:row>
    <x:row r="131">
      <x:c r="A131" s="15" t="str">
        <x:v>PAY00130</x:v>
      </x:c>
      <x:c r="B131" s="15" t="str">
        <x:v>ORD00130</x:v>
      </x:c>
      <x:c r="C131" s="15" t="n">
        <x:v>46131</x:v>
      </x:c>
      <x:c r="D131" s="15" t="n">
        <x:v>24355.3</x:v>
      </x:c>
      <x:c r="E131" s="15" t="str">
        <x:v>Not Due</x:v>
      </x:c>
    </x:row>
    <x:row r="132">
      <x:c r="A132" s="15" t="str">
        <x:v>PAY00131</x:v>
      </x:c>
      <x:c r="B132" s="15" t="str">
        <x:v>ORD00131</x:v>
      </x:c>
      <x:c r="C132" s="15" t="n">
        <x:v>46003</x:v>
      </x:c>
      <x:c r="D132" s="15" t="n">
        <x:v>21683.88</x:v>
      </x:c>
      <x:c r="E132" s="15" t="str">
        <x:v>Overdue</x:v>
      </x:c>
    </x:row>
    <x:row r="133">
      <x:c r="A133" s="15" t="str">
        <x:v>PAY00132</x:v>
      </x:c>
      <x:c r="B133" s="15" t="str">
        <x:v>ORD00132</x:v>
      </x:c>
      <x:c r="C133" s="15" t="n">
        <x:v>45708</x:v>
      </x:c>
      <x:c r="D133" s="15" t="n">
        <x:v>176498.86</x:v>
      </x:c>
      <x:c r="E133" s="15" t="str">
        <x:v>Paid</x:v>
      </x:c>
    </x:row>
    <x:row r="134">
      <x:c r="A134" s="15" t="str">
        <x:v>PAY00133</x:v>
      </x:c>
      <x:c r="B134" s="15" t="str">
        <x:v>ORD00133</x:v>
      </x:c>
      <x:c r="C134" s="15" t="n">
        <x:v>45912</x:v>
      </x:c>
      <x:c r="D134" s="15" t="n">
        <x:v>91214.84</x:v>
      </x:c>
      <x:c r="E134" s="15" t="str">
        <x:v>Paid</x:v>
      </x:c>
    </x:row>
    <x:row r="135">
      <x:c r="A135" s="15" t="str">
        <x:v>PAY00134</x:v>
      </x:c>
      <x:c r="B135" s="15" t="str">
        <x:v>ORD00134</x:v>
      </x:c>
      <x:c r="C135" s="15" t="n">
        <x:v>46177</x:v>
      </x:c>
      <x:c r="D135" s="15" t="n">
        <x:v>167268.74</x:v>
      </x:c>
      <x:c r="E135" s="15" t="str">
        <x:v>Paid</x:v>
      </x:c>
    </x:row>
    <x:row r="136">
      <x:c r="A136" s="15" t="str">
        <x:v>PAY00135</x:v>
      </x:c>
      <x:c r="B136" s="15" t="str">
        <x:v>ORD00135</x:v>
      </x:c>
      <x:c r="C136" s="15" t="n">
        <x:v>46121</x:v>
      </x:c>
      <x:c r="D136" s="15" t="n">
        <x:v>25065.35</x:v>
      </x:c>
      <x:c r="E136" s="15" t="str">
        <x:v>Paid</x:v>
      </x:c>
    </x:row>
    <x:row r="137">
      <x:c r="A137" s="15" t="str">
        <x:v>PAY00136</x:v>
      </x:c>
      <x:c r="B137" s="15" t="str">
        <x:v>ORD00136</x:v>
      </x:c>
      <x:c r="C137" s="15" t="n">
        <x:v>45721</x:v>
      </x:c>
      <x:c r="D137" s="15" t="n">
        <x:v>8133.02</x:v>
      </x:c>
      <x:c r="E137" s="15" t="str">
        <x:v>Paid</x:v>
      </x:c>
    </x:row>
    <x:row r="138">
      <x:c r="A138" s="15" t="str">
        <x:v>PAY00137</x:v>
      </x:c>
      <x:c r="B138" s="15" t="str">
        <x:v>ORD00137</x:v>
      </x:c>
      <x:c r="C138" s="15" t="n">
        <x:v>45961</x:v>
      </x:c>
      <x:c r="D138" s="15" t="n">
        <x:v>0</x:v>
      </x:c>
      <x:c r="E138" s="15" t="str">
        <x:v>Not Due</x:v>
      </x:c>
    </x:row>
    <x:row r="139">
      <x:c r="A139" s="15" t="str">
        <x:v>PAY00138</x:v>
      </x:c>
      <x:c r="B139" s="15" t="str">
        <x:v>ORD00138</x:v>
      </x:c>
      <x:c r="C139" s="15" t="n">
        <x:v>45683</x:v>
      </x:c>
      <x:c r="D139" s="15" t="n">
        <x:v>25603.44</x:v>
      </x:c>
      <x:c r="E139" s="15" t="str">
        <x:v>Paid</x:v>
      </x:c>
    </x:row>
    <x:row r="140">
      <x:c r="A140" s="15" t="str">
        <x:v>PAY00139</x:v>
      </x:c>
      <x:c r="B140" s="15" t="str">
        <x:v>ORD00139</x:v>
      </x:c>
      <x:c r="C140" s="15" t="n">
        <x:v>45982</x:v>
      </x:c>
      <x:c r="D140" s="15" t="n">
        <x:v>0</x:v>
      </x:c>
      <x:c r="E140" s="15" t="str">
        <x:v>Not Due</x:v>
      </x:c>
    </x:row>
    <x:row r="141">
      <x:c r="A141" s="15" t="str">
        <x:v>PAY00140</x:v>
      </x:c>
      <x:c r="B141" s="15" t="str">
        <x:v>ORD00140</x:v>
      </x:c>
      <x:c r="C141" s="15" t="n">
        <x:v>45864</x:v>
      </x:c>
      <x:c r="D141" s="15" t="n">
        <x:v>10245.9</x:v>
      </x:c>
      <x:c r="E141" s="15" t="str">
        <x:v>Paid</x:v>
      </x:c>
    </x:row>
    <x:row r="142">
      <x:c r="A142" s="15" t="str">
        <x:v>PAY00141</x:v>
      </x:c>
      <x:c r="B142" s="15" t="str">
        <x:v>ORD00141</x:v>
      </x:c>
      <x:c r="C142" s="15" t="n">
        <x:v>45753</x:v>
      </x:c>
      <x:c r="D142" s="15" t="n">
        <x:v>45684.12</x:v>
      </x:c>
      <x:c r="E142" s="15" t="str">
        <x:v>Paid</x:v>
      </x:c>
    </x:row>
    <x:row r="143">
      <x:c r="A143" s="15" t="str">
        <x:v>PAY00142</x:v>
      </x:c>
      <x:c r="B143" s="15" t="str">
        <x:v>ORD00142</x:v>
      </x:c>
      <x:c r="C143" s="15" t="n">
        <x:v>46023</x:v>
      </x:c>
      <x:c r="D143" s="15" t="n">
        <x:v>52769.46</x:v>
      </x:c>
      <x:c r="E143" s="15" t="str">
        <x:v>Paid</x:v>
      </x:c>
    </x:row>
    <x:row r="144">
      <x:c r="A144" s="15" t="str">
        <x:v>PAY00143</x:v>
      </x:c>
      <x:c r="B144" s="15" t="str">
        <x:v>ORD00143</x:v>
      </x:c>
      <x:c r="C144" s="15" t="n">
        <x:v>46022</x:v>
      </x:c>
      <x:c r="D144" s="15" t="n">
        <x:v>14027.05</x:v>
      </x:c>
      <x:c r="E144" s="15" t="str">
        <x:v>Paid</x:v>
      </x:c>
    </x:row>
    <x:row r="145">
      <x:c r="A145" s="15" t="str">
        <x:v>PAY00144</x:v>
      </x:c>
      <x:c r="B145" s="15" t="str">
        <x:v>ORD00144</x:v>
      </x:c>
      <x:c r="C145" s="15" t="n">
        <x:v>45700</x:v>
      </x:c>
      <x:c r="D145" s="15" t="n">
        <x:v>0</x:v>
      </x:c>
      <x:c r="E145" s="15" t="str">
        <x:v>Not Due</x:v>
      </x:c>
    </x:row>
    <x:row r="146">
      <x:c r="A146" s="15" t="str">
        <x:v>PAY00145</x:v>
      </x:c>
      <x:c r="B146" s="15" t="str">
        <x:v>ORD00145</x:v>
      </x:c>
      <x:c r="C146" s="15" t="n">
        <x:v>45829</x:v>
      </x:c>
      <x:c r="D146" s="15" t="n">
        <x:v>14270.54</x:v>
      </x:c>
      <x:c r="E146" s="15" t="str">
        <x:v>Paid</x:v>
      </x:c>
    </x:row>
    <x:row r="147">
      <x:c r="A147" s="15" t="str">
        <x:v>PAY00146</x:v>
      </x:c>
      <x:c r="B147" s="15" t="str">
        <x:v>ORD00146</x:v>
      </x:c>
      <x:c r="C147" s="15" t="n">
        <x:v>46150</x:v>
      </x:c>
      <x:c r="D147" s="15" t="n">
        <x:v>71324.69</x:v>
      </x:c>
      <x:c r="E147" s="15" t="str">
        <x:v>Overdue</x:v>
      </x:c>
    </x:row>
    <x:row r="148">
      <x:c r="A148" s="15" t="str">
        <x:v>PAY00147</x:v>
      </x:c>
      <x:c r="B148" s="15" t="str">
        <x:v>ORD00147</x:v>
      </x:c>
      <x:c r="C148" s="15" t="n">
        <x:v>46127</x:v>
      </x:c>
      <x:c r="D148" s="15" t="n">
        <x:v>69365.04</x:v>
      </x:c>
      <x:c r="E148" s="15" t="str">
        <x:v>Paid</x:v>
      </x:c>
    </x:row>
    <x:row r="149">
      <x:c r="A149" s="15" t="str">
        <x:v>PAY00148</x:v>
      </x:c>
      <x:c r="B149" s="15" t="str">
        <x:v>ORD00148</x:v>
      </x:c>
      <x:c r="C149" s="15" t="n">
        <x:v>45721</x:v>
      </x:c>
      <x:c r="D149" s="15" t="n">
        <x:v>55723.21</x:v>
      </x:c>
      <x:c r="E149" s="15" t="str">
        <x:v>Paid</x:v>
      </x:c>
    </x:row>
    <x:row r="150">
      <x:c r="A150" s="15" t="str">
        <x:v>PAY00149</x:v>
      </x:c>
      <x:c r="B150" s="15" t="str">
        <x:v>ORD00149</x:v>
      </x:c>
      <x:c r="C150" s="15" t="n">
        <x:v>45786</x:v>
      </x:c>
      <x:c r="D150" s="15" t="n">
        <x:v>37881.22</x:v>
      </x:c>
      <x:c r="E150" s="15" t="str">
        <x:v>Paid</x:v>
      </x:c>
    </x:row>
    <x:row r="151">
      <x:c r="A151" s="15" t="str">
        <x:v>PAY00150</x:v>
      </x:c>
      <x:c r="B151" s="15" t="str">
        <x:v>ORD00150</x:v>
      </x:c>
      <x:c r="C151" s="15" t="n">
        <x:v>45732</x:v>
      </x:c>
      <x:c r="D151" s="15" t="n">
        <x:v>74112.15</x:v>
      </x:c>
      <x:c r="E151" s="15" t="str">
        <x:v>Paid</x:v>
      </x:c>
    </x:row>
    <x:row r="152">
      <x:c r="A152" s="15" t="str">
        <x:v>PAY00151</x:v>
      </x:c>
      <x:c r="B152" s="15" t="str">
        <x:v>ORD00151</x:v>
      </x:c>
      <x:c r="C152" s="15" t="n">
        <x:v>45757</x:v>
      </x:c>
      <x:c r="D152" s="15" t="n">
        <x:v>11320.94</x:v>
      </x:c>
      <x:c r="E152" s="15" t="str">
        <x:v>Paid</x:v>
      </x:c>
    </x:row>
    <x:row r="153">
      <x:c r="A153" s="15" t="str">
        <x:v>PAY00152</x:v>
      </x:c>
      <x:c r="B153" s="15" t="str">
        <x:v>ORD00152</x:v>
      </x:c>
      <x:c r="C153" s="15" t="n">
        <x:v>45908</x:v>
      </x:c>
      <x:c r="D153" s="15" t="n">
        <x:v>33296.17</x:v>
      </x:c>
      <x:c r="E153" s="15" t="str">
        <x:v>Overdue</x:v>
      </x:c>
    </x:row>
    <x:row r="154">
      <x:c r="A154" s="15" t="str">
        <x:v>PAY00153</x:v>
      </x:c>
      <x:c r="B154" s="15" t="str">
        <x:v>ORD00153</x:v>
      </x:c>
      <x:c r="C154" s="15" t="n">
        <x:v>45859</x:v>
      </x:c>
      <x:c r="D154" s="15" t="n">
        <x:v>52775.53</x:v>
      </x:c>
      <x:c r="E154" s="15" t="str">
        <x:v>Paid</x:v>
      </x:c>
    </x:row>
    <x:row r="155">
      <x:c r="A155" s="15" t="str">
        <x:v>PAY00154</x:v>
      </x:c>
      <x:c r="B155" s="15" t="str">
        <x:v>ORD00154</x:v>
      </x:c>
      <x:c r="C155" s="15" t="n">
        <x:v>45782</x:v>
      </x:c>
      <x:c r="D155" s="15" t="n">
        <x:v>19999.29</x:v>
      </x:c>
      <x:c r="E155" s="15" t="str">
        <x:v>Not Due</x:v>
      </x:c>
    </x:row>
    <x:row r="156">
      <x:c r="A156" s="15" t="str">
        <x:v>PAY00155</x:v>
      </x:c>
      <x:c r="B156" s="15" t="str">
        <x:v>ORD00155</x:v>
      </x:c>
      <x:c r="C156" s="15" t="n">
        <x:v>46091</x:v>
      </x:c>
      <x:c r="D156" s="15" t="n">
        <x:v>26452.22</x:v>
      </x:c>
      <x:c r="E156" s="15" t="str">
        <x:v>Paid</x:v>
      </x:c>
    </x:row>
    <x:row r="157">
      <x:c r="A157" s="15" t="str">
        <x:v>PAY00156</x:v>
      </x:c>
      <x:c r="B157" s="15" t="str">
        <x:v>ORD00156</x:v>
      </x:c>
      <x:c r="C157" s="15" t="n">
        <x:v>46155</x:v>
      </x:c>
      <x:c r="D157" s="15" t="n">
        <x:v>0</x:v>
      </x:c>
      <x:c r="E157" s="15" t="str">
        <x:v>Not Due</x:v>
      </x:c>
    </x:row>
    <x:row r="158">
      <x:c r="A158" s="15" t="str">
        <x:v>PAY00157</x:v>
      </x:c>
      <x:c r="B158" s="15" t="str">
        <x:v>ORD00157</x:v>
      </x:c>
      <x:c r="C158" s="15" t="n">
        <x:v>46022</x:v>
      </x:c>
      <x:c r="D158" s="15" t="n">
        <x:v>0</x:v>
      </x:c>
      <x:c r="E158" s="15" t="str">
        <x:v>Overdue</x:v>
      </x:c>
    </x:row>
    <x:row r="159">
      <x:c r="A159" s="15" t="str">
        <x:v>PAY00158</x:v>
      </x:c>
      <x:c r="B159" s="15" t="str">
        <x:v>ORD00158</x:v>
      </x:c>
      <x:c r="C159" s="15" t="n">
        <x:v>45763</x:v>
      </x:c>
      <x:c r="D159" s="15" t="n">
        <x:v>77301.67</x:v>
      </x:c>
      <x:c r="E159" s="15" t="str">
        <x:v>Paid</x:v>
      </x:c>
    </x:row>
    <x:row r="160">
      <x:c r="A160" s="15" t="str">
        <x:v>PAY00159</x:v>
      </x:c>
      <x:c r="B160" s="15" t="str">
        <x:v>ORD00159</x:v>
      </x:c>
      <x:c r="C160" s="15" t="n">
        <x:v>46030</x:v>
      </x:c>
      <x:c r="D160" s="15" t="n">
        <x:v>83690.48</x:v>
      </x:c>
      <x:c r="E160" s="15" t="str">
        <x:v>Paid</x:v>
      </x:c>
    </x:row>
    <x:row r="161">
      <x:c r="A161" s="15" t="str">
        <x:v>PAY00160</x:v>
      </x:c>
      <x:c r="B161" s="15" t="str">
        <x:v>ORD00160</x:v>
      </x:c>
      <x:c r="C161" s="15" t="n">
        <x:v>45826</x:v>
      </x:c>
      <x:c r="D161" s="15" t="n">
        <x:v>155072.5</x:v>
      </x:c>
      <x:c r="E161" s="15" t="str">
        <x:v>Paid</x:v>
      </x:c>
    </x:row>
    <x:row r="162">
      <x:c r="A162" s="15" t="str">
        <x:v>PAY00161</x:v>
      </x:c>
      <x:c r="B162" s="15" t="str">
        <x:v>ORD00161</x:v>
      </x:c>
      <x:c r="C162" s="15" t="n">
        <x:v>46183</x:v>
      </x:c>
      <x:c r="D162" s="15" t="n">
        <x:v>10793.32</x:v>
      </x:c>
      <x:c r="E162" s="15" t="str">
        <x:v>Paid</x:v>
      </x:c>
    </x:row>
    <x:row r="163">
      <x:c r="A163" s="15" t="str">
        <x:v>PAY00162</x:v>
      </x:c>
      <x:c r="B163" s="15" t="str">
        <x:v>ORD00162</x:v>
      </x:c>
      <x:c r="C163" s="15" t="n">
        <x:v>45688</x:v>
      </x:c>
      <x:c r="D163" s="15" t="n">
        <x:v>58309.19</x:v>
      </x:c>
      <x:c r="E163" s="15" t="str">
        <x:v>Paid</x:v>
      </x:c>
    </x:row>
    <x:row r="164">
      <x:c r="A164" s="15" t="str">
        <x:v>PAY00163</x:v>
      </x:c>
      <x:c r="B164" s="15" t="str">
        <x:v>ORD00163</x:v>
      </x:c>
      <x:c r="C164" s="15" t="n">
        <x:v>45767</x:v>
      </x:c>
      <x:c r="D164" s="15" t="n">
        <x:v>18921.18</x:v>
      </x:c>
      <x:c r="E164" s="15" t="str">
        <x:v>Paid</x:v>
      </x:c>
    </x:row>
    <x:row r="165">
      <x:c r="A165" s="15" t="str">
        <x:v>PAY00164</x:v>
      </x:c>
      <x:c r="B165" s="15" t="str">
        <x:v>ORD00164</x:v>
      </x:c>
      <x:c r="C165" s="15" t="n">
        <x:v>45821</x:v>
      </x:c>
      <x:c r="D165" s="15" t="n">
        <x:v>51775.34</x:v>
      </x:c>
      <x:c r="E165" s="15" t="str">
        <x:v>Paid</x:v>
      </x:c>
    </x:row>
    <x:row r="166">
      <x:c r="A166" s="15" t="str">
        <x:v>PAY00165</x:v>
      </x:c>
      <x:c r="B166" s="15" t="str">
        <x:v>ORD00165</x:v>
      </x:c>
      <x:c r="C166" s="15" t="n">
        <x:v>46058</x:v>
      </x:c>
      <x:c r="D166" s="15" t="n">
        <x:v>36484.48</x:v>
      </x:c>
      <x:c r="E166" s="15" t="str">
        <x:v>Overdue</x:v>
      </x:c>
    </x:row>
    <x:row r="167">
      <x:c r="A167" s="15" t="str">
        <x:v>PAY00166</x:v>
      </x:c>
      <x:c r="B167" s="15" t="str">
        <x:v>ORD00166</x:v>
      </x:c>
      <x:c r="C167" s="15" t="n">
        <x:v>46211</x:v>
      </x:c>
      <x:c r="D167" s="15" t="n">
        <x:v>42672.4</x:v>
      </x:c>
      <x:c r="E167" s="15" t="str">
        <x:v>Paid</x:v>
      </x:c>
    </x:row>
    <x:row r="168">
      <x:c r="A168" s="15" t="str">
        <x:v>PAY00167</x:v>
      </x:c>
      <x:c r="B168" s="15" t="str">
        <x:v>ORD00167</x:v>
      </x:c>
      <x:c r="C168" s="15" t="n">
        <x:v>45902</x:v>
      </x:c>
      <x:c r="D168" s="15" t="n">
        <x:v>13557.01</x:v>
      </x:c>
      <x:c r="E168" s="15" t="str">
        <x:v>Paid</x:v>
      </x:c>
    </x:row>
    <x:row r="169">
      <x:c r="A169" s="15" t="str">
        <x:v>PAY00168</x:v>
      </x:c>
      <x:c r="B169" s="15" t="str">
        <x:v>ORD00168</x:v>
      </x:c>
      <x:c r="C169" s="15" t="n">
        <x:v>46193</x:v>
      </x:c>
      <x:c r="D169" s="15" t="n">
        <x:v>12113.84</x:v>
      </x:c>
      <x:c r="E169" s="15" t="str">
        <x:v>Paid</x:v>
      </x:c>
    </x:row>
    <x:row r="170">
      <x:c r="A170" s="15" t="str">
        <x:v>PAY00169</x:v>
      </x:c>
      <x:c r="B170" s="15" t="str">
        <x:v>ORD00169</x:v>
      </x:c>
      <x:c r="C170" s="15" t="n">
        <x:v>45781</x:v>
      </x:c>
      <x:c r="D170" s="15" t="n">
        <x:v>7380.23</x:v>
      </x:c>
      <x:c r="E170" s="15" t="str">
        <x:v>Paid</x:v>
      </x:c>
    </x:row>
    <x:row r="171">
      <x:c r="A171" s="15" t="str">
        <x:v>PAY00170</x:v>
      </x:c>
      <x:c r="B171" s="15" t="str">
        <x:v>ORD00170</x:v>
      </x:c>
      <x:c r="C171" s="15" t="n">
        <x:v>46192</x:v>
      </x:c>
      <x:c r="D171" s="15" t="n">
        <x:v>55510.68</x:v>
      </x:c>
      <x:c r="E171" s="15" t="str">
        <x:v>Not Due</x:v>
      </x:c>
    </x:row>
    <x:row r="172">
      <x:c r="A172" s="15" t="str">
        <x:v>PAY00171</x:v>
      </x:c>
      <x:c r="B172" s="15" t="str">
        <x:v>ORD00171</x:v>
      </x:c>
      <x:c r="C172" s="15" t="n">
        <x:v>45941</x:v>
      </x:c>
      <x:c r="D172" s="15" t="n">
        <x:v>28634.56</x:v>
      </x:c>
      <x:c r="E172" s="15" t="str">
        <x:v>Paid</x:v>
      </x:c>
    </x:row>
    <x:row r="173">
      <x:c r="A173" s="15" t="str">
        <x:v>PAY00172</x:v>
      </x:c>
      <x:c r="B173" s="15" t="str">
        <x:v>ORD00172</x:v>
      </x:c>
      <x:c r="C173" s="15" t="n">
        <x:v>46170</x:v>
      </x:c>
      <x:c r="D173" s="15" t="n">
        <x:v>111484.52</x:v>
      </x:c>
      <x:c r="E173" s="15" t="str">
        <x:v>Paid</x:v>
      </x:c>
    </x:row>
    <x:row r="174">
      <x:c r="A174" s="15" t="str">
        <x:v>PAY00173</x:v>
      </x:c>
      <x:c r="B174" s="15" t="str">
        <x:v>ORD00173</x:v>
      </x:c>
      <x:c r="C174" s="15" t="n">
        <x:v>46067</x:v>
      </x:c>
      <x:c r="D174" s="15" t="n">
        <x:v>76895.43</x:v>
      </x:c>
      <x:c r="E174" s="15" t="str">
        <x:v>Paid</x:v>
      </x:c>
    </x:row>
    <x:row r="175">
      <x:c r="A175" s="15" t="str">
        <x:v>PAY00174</x:v>
      </x:c>
      <x:c r="B175" s="15" t="str">
        <x:v>ORD00174</x:v>
      </x:c>
      <x:c r="C175" s="15" t="n">
        <x:v>46122</x:v>
      </x:c>
      <x:c r="D175" s="15" t="n">
        <x:v>43580.73</x:v>
      </x:c>
      <x:c r="E175" s="15" t="str">
        <x:v>Paid</x:v>
      </x:c>
    </x:row>
    <x:row r="176">
      <x:c r="A176" s="15" t="str">
        <x:v>PAY00175</x:v>
      </x:c>
      <x:c r="B176" s="15" t="str">
        <x:v>ORD00175</x:v>
      </x:c>
      <x:c r="C176" s="15" t="n">
        <x:v>45751</x:v>
      </x:c>
      <x:c r="D176" s="15" t="n">
        <x:v>100733.1</x:v>
      </x:c>
      <x:c r="E176" s="15" t="str">
        <x:v>Paid</x:v>
      </x:c>
    </x:row>
    <x:row r="177">
      <x:c r="A177" s="15" t="str">
        <x:v>PAY00176</x:v>
      </x:c>
      <x:c r="B177" s="15" t="str">
        <x:v>ORD00176</x:v>
      </x:c>
      <x:c r="C177" s="15" t="n">
        <x:v>46065</x:v>
      </x:c>
      <x:c r="D177" s="15" t="n">
        <x:v>28170.06</x:v>
      </x:c>
      <x:c r="E177" s="15" t="str">
        <x:v>Overdue</x:v>
      </x:c>
    </x:row>
    <x:row r="178">
      <x:c r="A178" s="15" t="str">
        <x:v>PAY00177</x:v>
      </x:c>
      <x:c r="B178" s="15" t="str">
        <x:v>ORD00177</x:v>
      </x:c>
      <x:c r="C178" s="15" t="n">
        <x:v>46001</x:v>
      </x:c>
      <x:c r="D178" s="15" t="n">
        <x:v>107151.26</x:v>
      </x:c>
      <x:c r="E178" s="15" t="str">
        <x:v>Paid</x:v>
      </x:c>
    </x:row>
    <x:row r="179">
      <x:c r="A179" s="15" t="str">
        <x:v>PAY00178</x:v>
      </x:c>
      <x:c r="B179" s="15" t="str">
        <x:v>ORD00178</x:v>
      </x:c>
      <x:c r="C179" s="15" t="n">
        <x:v>45748</x:v>
      </x:c>
      <x:c r="D179" s="15" t="n">
        <x:v>40679.75</x:v>
      </x:c>
      <x:c r="E179" s="15" t="str">
        <x:v>Paid</x:v>
      </x:c>
    </x:row>
    <x:row r="180">
      <x:c r="A180" s="15" t="str">
        <x:v>PAY00179</x:v>
      </x:c>
      <x:c r="B180" s="15" t="str">
        <x:v>ORD00179</x:v>
      </x:c>
      <x:c r="C180" s="15" t="n">
        <x:v>45704</x:v>
      </x:c>
      <x:c r="D180" s="15" t="n">
        <x:v>44319.55</x:v>
      </x:c>
      <x:c r="E180" s="15" t="str">
        <x:v>Paid</x:v>
      </x:c>
    </x:row>
    <x:row r="181">
      <x:c r="A181" s="15" t="str">
        <x:v>PAY00180</x:v>
      </x:c>
      <x:c r="B181" s="15" t="str">
        <x:v>ORD00180</x:v>
      </x:c>
      <x:c r="C181" s="15" t="n">
        <x:v>45843</x:v>
      </x:c>
      <x:c r="D181" s="15" t="n">
        <x:v>45723.56</x:v>
      </x:c>
      <x:c r="E181" s="15" t="str">
        <x:v>Not Due</x:v>
      </x:c>
    </x:row>
    <x:row r="182">
      <x:c r="A182" s="15" t="str">
        <x:v>PAY00181</x:v>
      </x:c>
      <x:c r="B182" s="15" t="str">
        <x:v>ORD00181</x:v>
      </x:c>
      <x:c r="C182" s="15" t="n">
        <x:v>45734</x:v>
      </x:c>
      <x:c r="D182" s="15" t="n">
        <x:v>10074.34</x:v>
      </x:c>
      <x:c r="E182" s="15" t="str">
        <x:v>Not Due</x:v>
      </x:c>
    </x:row>
    <x:row r="183">
      <x:c r="A183" s="15" t="str">
        <x:v>PAY00182</x:v>
      </x:c>
      <x:c r="B183" s="15" t="str">
        <x:v>ORD00182</x:v>
      </x:c>
      <x:c r="C183" s="15" t="n">
        <x:v>46202</x:v>
      </x:c>
      <x:c r="D183" s="15" t="n">
        <x:v>25484.23</x:v>
      </x:c>
      <x:c r="E183" s="15" t="str">
        <x:v>Paid</x:v>
      </x:c>
    </x:row>
    <x:row r="184">
      <x:c r="A184" s="15" t="str">
        <x:v>PAY00183</x:v>
      </x:c>
      <x:c r="B184" s="15" t="str">
        <x:v>ORD00183</x:v>
      </x:c>
      <x:c r="C184" s="15" t="n">
        <x:v>46124</x:v>
      </x:c>
      <x:c r="D184" s="15" t="n">
        <x:v>0</x:v>
      </x:c>
      <x:c r="E184" s="15" t="str">
        <x:v>Not Due</x:v>
      </x:c>
    </x:row>
    <x:row r="185">
      <x:c r="A185" s="15" t="str">
        <x:v>PAY00184</x:v>
      </x:c>
      <x:c r="B185" s="15" t="str">
        <x:v>ORD00184</x:v>
      </x:c>
      <x:c r="C185" s="15" t="n">
        <x:v>45894</x:v>
      </x:c>
      <x:c r="D185" s="15" t="n">
        <x:v>8670.63</x:v>
      </x:c>
      <x:c r="E185" s="15" t="str">
        <x:v>Paid</x:v>
      </x:c>
    </x:row>
    <x:row r="186">
      <x:c r="A186" s="15" t="str">
        <x:v>PAY00185</x:v>
      </x:c>
      <x:c r="B186" s="15" t="str">
        <x:v>ORD00185</x:v>
      </x:c>
      <x:c r="C186" s="15" t="n">
        <x:v>46200</x:v>
      </x:c>
      <x:c r="D186" s="15" t="n">
        <x:v>67629.31</x:v>
      </x:c>
      <x:c r="E186" s="15" t="str">
        <x:v>Paid</x:v>
      </x:c>
    </x:row>
    <x:row r="187">
      <x:c r="A187" s="15" t="str">
        <x:v>PAY00186</x:v>
      </x:c>
      <x:c r="B187" s="15" t="str">
        <x:v>ORD00186</x:v>
      </x:c>
      <x:c r="C187" s="15" t="n">
        <x:v>45922</x:v>
      </x:c>
      <x:c r="D187" s="15" t="n">
        <x:v>29236.67</x:v>
      </x:c>
      <x:c r="E187" s="15" t="str">
        <x:v>Paid</x:v>
      </x:c>
    </x:row>
    <x:row r="188">
      <x:c r="A188" s="15" t="str">
        <x:v>PAY00187</x:v>
      </x:c>
      <x:c r="B188" s="15" t="str">
        <x:v>ORD00187</x:v>
      </x:c>
      <x:c r="C188" s="15" t="n">
        <x:v>45802</x:v>
      </x:c>
      <x:c r="D188" s="15" t="n">
        <x:v>82671.18</x:v>
      </x:c>
      <x:c r="E188" s="15" t="str">
        <x:v>Paid</x:v>
      </x:c>
    </x:row>
    <x:row r="189">
      <x:c r="A189" s="15" t="str">
        <x:v>PAY00188</x:v>
      </x:c>
      <x:c r="B189" s="15" t="str">
        <x:v>ORD00188</x:v>
      </x:c>
      <x:c r="C189" s="15" t="n">
        <x:v>46066</x:v>
      </x:c>
      <x:c r="D189" s="15" t="n">
        <x:v>33558.79</x:v>
      </x:c>
      <x:c r="E189" s="15" t="str">
        <x:v>Overdue</x:v>
      </x:c>
    </x:row>
    <x:row r="190">
      <x:c r="A190" s="15" t="str">
        <x:v>PAY00189</x:v>
      </x:c>
      <x:c r="B190" s="15" t="str">
        <x:v>ORD00189</x:v>
      </x:c>
      <x:c r="C190" s="15" t="n">
        <x:v>46007</x:v>
      </x:c>
      <x:c r="D190" s="15" t="n">
        <x:v>148671.92</x:v>
      </x:c>
      <x:c r="E190" s="15" t="str">
        <x:v>Paid</x:v>
      </x:c>
    </x:row>
    <x:row r="191">
      <x:c r="A191" s="15" t="str">
        <x:v>PAY00190</x:v>
      </x:c>
      <x:c r="B191" s="15" t="str">
        <x:v>ORD00190</x:v>
      </x:c>
      <x:c r="C191" s="15" t="n">
        <x:v>45928</x:v>
      </x:c>
      <x:c r="D191" s="15" t="n">
        <x:v>74265.8</x:v>
      </x:c>
      <x:c r="E191" s="15" t="str">
        <x:v>Paid</x:v>
      </x:c>
    </x:row>
    <x:row r="192">
      <x:c r="A192" s="15" t="str">
        <x:v>PAY00191</x:v>
      </x:c>
      <x:c r="B192" s="15" t="str">
        <x:v>ORD00191</x:v>
      </x:c>
      <x:c r="C192" s="15" t="n">
        <x:v>46197</x:v>
      </x:c>
      <x:c r="D192" s="15" t="n">
        <x:v>21942.31</x:v>
      </x:c>
      <x:c r="E192" s="15" t="str">
        <x:v>Paid</x:v>
      </x:c>
    </x:row>
    <x:row r="193">
      <x:c r="A193" s="15" t="str">
        <x:v>PAY00192</x:v>
      </x:c>
      <x:c r="B193" s="15" t="str">
        <x:v>ORD00192</x:v>
      </x:c>
      <x:c r="C193" s="15" t="n">
        <x:v>46217</x:v>
      </x:c>
      <x:c r="D193" s="15" t="n">
        <x:v>76653.54</x:v>
      </x:c>
      <x:c r="E193" s="15" t="str">
        <x:v>Paid</x:v>
      </x:c>
    </x:row>
    <x:row r="194">
      <x:c r="A194" s="15" t="str">
        <x:v>PAY00193</x:v>
      </x:c>
      <x:c r="B194" s="15" t="str">
        <x:v>ORD00193</x:v>
      </x:c>
      <x:c r="C194" s="15" t="n">
        <x:v>46005</x:v>
      </x:c>
      <x:c r="D194" s="15" t="n">
        <x:v>6848.86</x:v>
      </x:c>
      <x:c r="E194" s="15" t="str">
        <x:v>Not Due</x:v>
      </x:c>
    </x:row>
    <x:row r="195">
      <x:c r="A195" s="15" t="str">
        <x:v>PAY00194</x:v>
      </x:c>
      <x:c r="B195" s="15" t="str">
        <x:v>ORD00194</x:v>
      </x:c>
      <x:c r="C195" s="15" t="n">
        <x:v>46140</x:v>
      </x:c>
      <x:c r="D195" s="15" t="n">
        <x:v>71493.06</x:v>
      </x:c>
      <x:c r="E195" s="15" t="str">
        <x:v>Paid</x:v>
      </x:c>
    </x:row>
    <x:row r="196">
      <x:c r="A196" s="15" t="str">
        <x:v>PAY00195</x:v>
      </x:c>
      <x:c r="B196" s="15" t="str">
        <x:v>ORD00195</x:v>
      </x:c>
      <x:c r="C196" s="15" t="n">
        <x:v>45688</x:v>
      </x:c>
      <x:c r="D196" s="15" t="n">
        <x:v>63194.72</x:v>
      </x:c>
      <x:c r="E196" s="15" t="str">
        <x:v>Paid</x:v>
      </x:c>
    </x:row>
    <x:row r="197">
      <x:c r="A197" s="15" t="str">
        <x:v>PAY00196</x:v>
      </x:c>
      <x:c r="B197" s="15" t="str">
        <x:v>ORD00196</x:v>
      </x:c>
      <x:c r="C197" s="15" t="n">
        <x:v>46057</x:v>
      </x:c>
      <x:c r="D197" s="15" t="n">
        <x:v>0</x:v>
      </x:c>
      <x:c r="E197" s="15" t="str">
        <x:v>Not Due</x:v>
      </x:c>
    </x:row>
    <x:row r="198">
      <x:c r="A198" s="15" t="str">
        <x:v>PAY00197</x:v>
      </x:c>
      <x:c r="B198" s="15" t="str">
        <x:v>ORD00197</x:v>
      </x:c>
      <x:c r="C198" s="15" t="n">
        <x:v>46158</x:v>
      </x:c>
      <x:c r="D198" s="15" t="n">
        <x:v>46968.29</x:v>
      </x:c>
      <x:c r="E198" s="15" t="str">
        <x:v>Paid</x:v>
      </x:c>
    </x:row>
    <x:row r="199">
      <x:c r="A199" s="15" t="str">
        <x:v>PAY00198</x:v>
      </x:c>
      <x:c r="B199" s="15" t="str">
        <x:v>ORD00198</x:v>
      </x:c>
      <x:c r="C199" s="15" t="n">
        <x:v>45993</x:v>
      </x:c>
      <x:c r="D199" s="15" t="n">
        <x:v>19234.22</x:v>
      </x:c>
      <x:c r="E199" s="15" t="str">
        <x:v>Paid</x:v>
      </x:c>
    </x:row>
    <x:row r="200">
      <x:c r="A200" s="15" t="str">
        <x:v>PAY00199</x:v>
      </x:c>
      <x:c r="B200" s="15" t="str">
        <x:v>ORD00199</x:v>
      </x:c>
      <x:c r="C200" s="15" t="n">
        <x:v>46137</x:v>
      </x:c>
      <x:c r="D200" s="15" t="n">
        <x:v>20233.85</x:v>
      </x:c>
      <x:c r="E200" s="15" t="str">
        <x:v>Not Due</x:v>
      </x:c>
    </x:row>
    <x:row r="201">
      <x:c r="A201" s="15" t="str">
        <x:v>PAY00200</x:v>
      </x:c>
      <x:c r="B201" s="15" t="str">
        <x:v>ORD00200</x:v>
      </x:c>
      <x:c r="C201" s="15" t="n">
        <x:v>45814</x:v>
      </x:c>
      <x:c r="D201" s="15" t="n">
        <x:v>86440.17</x:v>
      </x:c>
      <x:c r="E201" s="15" t="str">
        <x:v>Paid</x:v>
      </x:c>
    </x:row>
    <x:row r="202">
      <x:c r="A202" s="15" t="str">
        <x:v>PAY00201</x:v>
      </x:c>
      <x:c r="B202" s="15" t="str">
        <x:v>ORD00201</x:v>
      </x:c>
      <x:c r="C202" s="15" t="n">
        <x:v>45871</x:v>
      </x:c>
      <x:c r="D202" s="15" t="n">
        <x:v>71162.41</x:v>
      </x:c>
      <x:c r="E202" s="15" t="str">
        <x:v>Paid</x:v>
      </x:c>
    </x:row>
    <x:row r="203">
      <x:c r="A203" s="15" t="str">
        <x:v>PAY00202</x:v>
      </x:c>
      <x:c r="B203" s="15" t="str">
        <x:v>ORD00202</x:v>
      </x:c>
      <x:c r="C203" s="15" t="n">
        <x:v>45797</x:v>
      </x:c>
      <x:c r="D203" s="15" t="n">
        <x:v>57400.57</x:v>
      </x:c>
      <x:c r="E203" s="15" t="str">
        <x:v>Paid</x:v>
      </x:c>
    </x:row>
    <x:row r="204">
      <x:c r="A204" s="15" t="str">
        <x:v>PAY00203</x:v>
      </x:c>
      <x:c r="B204" s="15" t="str">
        <x:v>ORD00203</x:v>
      </x:c>
      <x:c r="C204" s="15" t="n">
        <x:v>45866</x:v>
      </x:c>
      <x:c r="D204" s="15" t="n">
        <x:v>87080.66</x:v>
      </x:c>
      <x:c r="E204" s="15" t="str">
        <x:v>Paid</x:v>
      </x:c>
    </x:row>
    <x:row r="205">
      <x:c r="A205" s="15" t="str">
        <x:v>PAY00204</x:v>
      </x:c>
      <x:c r="B205" s="15" t="str">
        <x:v>ORD00204</x:v>
      </x:c>
      <x:c r="C205" s="15" t="n">
        <x:v>45736</x:v>
      </x:c>
      <x:c r="D205" s="15" t="n">
        <x:v>0</x:v>
      </x:c>
      <x:c r="E205" s="15" t="str">
        <x:v>Not Due</x:v>
      </x:c>
    </x:row>
    <x:row r="206">
      <x:c r="A206" s="15" t="str">
        <x:v>PAY00205</x:v>
      </x:c>
      <x:c r="B206" s="15" t="str">
        <x:v>ORD00205</x:v>
      </x:c>
      <x:c r="C206" s="15" t="n">
        <x:v>46034</x:v>
      </x:c>
      <x:c r="D206" s="15" t="n">
        <x:v>120832.98</x:v>
      </x:c>
      <x:c r="E206" s="15" t="str">
        <x:v>Paid</x:v>
      </x:c>
    </x:row>
    <x:row r="207">
      <x:c r="A207" s="15" t="str">
        <x:v>PAY00206</x:v>
      </x:c>
      <x:c r="B207" s="15" t="str">
        <x:v>ORD00206</x:v>
      </x:c>
      <x:c r="C207" s="15" t="n">
        <x:v>45919</x:v>
      </x:c>
      <x:c r="D207" s="15" t="n">
        <x:v>0</x:v>
      </x:c>
      <x:c r="E207" s="15" t="str">
        <x:v>Overdue</x:v>
      </x:c>
    </x:row>
    <x:row r="208">
      <x:c r="A208" s="15" t="str">
        <x:v>PAY00207</x:v>
      </x:c>
      <x:c r="B208" s="15" t="str">
        <x:v>ORD00207</x:v>
      </x:c>
      <x:c r="C208" s="15" t="n">
        <x:v>46000</x:v>
      </x:c>
      <x:c r="D208" s="15" t="n">
        <x:v>0</x:v>
      </x:c>
      <x:c r="E208" s="15" t="str">
        <x:v>Not Due</x:v>
      </x:c>
    </x:row>
    <x:row r="209">
      <x:c r="A209" s="15" t="str">
        <x:v>PAY00208</x:v>
      </x:c>
      <x:c r="B209" s="15" t="str">
        <x:v>ORD00208</x:v>
      </x:c>
      <x:c r="C209" s="15" t="n">
        <x:v>45717</x:v>
      </x:c>
      <x:c r="D209" s="15" t="n">
        <x:v>104712.53</x:v>
      </x:c>
      <x:c r="E209" s="15" t="str">
        <x:v>Paid</x:v>
      </x:c>
    </x:row>
    <x:row r="210">
      <x:c r="A210" s="15" t="str">
        <x:v>PAY00209</x:v>
      </x:c>
      <x:c r="B210" s="15" t="str">
        <x:v>ORD00209</x:v>
      </x:c>
      <x:c r="C210" s="15" t="n">
        <x:v>45804</x:v>
      </x:c>
      <x:c r="D210" s="15" t="n">
        <x:v>0</x:v>
      </x:c>
      <x:c r="E210" s="15" t="str">
        <x:v>Overdue</x:v>
      </x:c>
    </x:row>
    <x:row r="211">
      <x:c r="A211" s="15" t="str">
        <x:v>PAY00210</x:v>
      </x:c>
      <x:c r="B211" s="15" t="str">
        <x:v>ORD00210</x:v>
      </x:c>
      <x:c r="C211" s="15" t="n">
        <x:v>45865</x:v>
      </x:c>
      <x:c r="D211" s="15" t="n">
        <x:v>39654.34</x:v>
      </x:c>
      <x:c r="E211" s="15" t="str">
        <x:v>Paid</x:v>
      </x:c>
    </x:row>
    <x:row r="212">
      <x:c r="A212" s="15" t="str">
        <x:v>PAY00211</x:v>
      </x:c>
      <x:c r="B212" s="15" t="str">
        <x:v>ORD00211</x:v>
      </x:c>
      <x:c r="C212" s="15" t="n">
        <x:v>45938</x:v>
      </x:c>
      <x:c r="D212" s="15" t="n">
        <x:v>80248.47</x:v>
      </x:c>
      <x:c r="E212" s="15" t="str">
        <x:v>Paid</x:v>
      </x:c>
    </x:row>
    <x:row r="213">
      <x:c r="A213" s="15" t="str">
        <x:v>PAY00212</x:v>
      </x:c>
      <x:c r="B213" s="15" t="str">
        <x:v>ORD00212</x:v>
      </x:c>
      <x:c r="C213" s="15" t="n">
        <x:v>45973</x:v>
      </x:c>
      <x:c r="D213" s="15" t="n">
        <x:v>21971.74</x:v>
      </x:c>
      <x:c r="E213" s="15" t="str">
        <x:v>Not Due</x:v>
      </x:c>
    </x:row>
    <x:row r="214">
      <x:c r="A214" s="15" t="str">
        <x:v>PAY00213</x:v>
      </x:c>
      <x:c r="B214" s="15" t="str">
        <x:v>ORD00213</x:v>
      </x:c>
      <x:c r="C214" s="15" t="n">
        <x:v>46184</x:v>
      </x:c>
      <x:c r="D214" s="15" t="n">
        <x:v>107606.58</x:v>
      </x:c>
      <x:c r="E214" s="15" t="str">
        <x:v>Paid</x:v>
      </x:c>
    </x:row>
    <x:row r="215">
      <x:c r="A215" s="15" t="str">
        <x:v>PAY00214</x:v>
      </x:c>
      <x:c r="B215" s="15" t="str">
        <x:v>ORD00214</x:v>
      </x:c>
      <x:c r="C215" s="15" t="n">
        <x:v>46153</x:v>
      </x:c>
      <x:c r="D215" s="15" t="n">
        <x:v>39654.34</x:v>
      </x:c>
      <x:c r="E215" s="15" t="str">
        <x:v>Paid</x:v>
      </x:c>
    </x:row>
    <x:row r="216">
      <x:c r="A216" s="15" t="str">
        <x:v>PAY00215</x:v>
      </x:c>
      <x:c r="B216" s="15" t="str">
        <x:v>ORD00215</x:v>
      </x:c>
      <x:c r="C216" s="15" t="n">
        <x:v>45783</x:v>
      </x:c>
      <x:c r="D216" s="15" t="n">
        <x:v>69875.89</x:v>
      </x:c>
      <x:c r="E216" s="15" t="str">
        <x:v>Paid</x:v>
      </x:c>
    </x:row>
    <x:row r="217">
      <x:c r="A217" s="15" t="str">
        <x:v>PAY00216</x:v>
      </x:c>
      <x:c r="B217" s="15" t="str">
        <x:v>ORD00216</x:v>
      </x:c>
      <x:c r="C217" s="15" t="n">
        <x:v>46113</x:v>
      </x:c>
      <x:c r="D217" s="15" t="n">
        <x:v>54427.52</x:v>
      </x:c>
      <x:c r="E217" s="15" t="str">
        <x:v>Paid</x:v>
      </x:c>
    </x:row>
    <x:row r="218">
      <x:c r="A218" s="15" t="str">
        <x:v>PAY00217</x:v>
      </x:c>
      <x:c r="B218" s="15" t="str">
        <x:v>ORD00217</x:v>
      </x:c>
      <x:c r="C218" s="15" t="n">
        <x:v>46053</x:v>
      </x:c>
      <x:c r="D218" s="15" t="n">
        <x:v>88298.83</x:v>
      </x:c>
      <x:c r="E218" s="15" t="str">
        <x:v>Paid</x:v>
      </x:c>
    </x:row>
    <x:row r="219">
      <x:c r="A219" s="15" t="str">
        <x:v>PAY00218</x:v>
      </x:c>
      <x:c r="B219" s="15" t="str">
        <x:v>ORD00218</x:v>
      </x:c>
      <x:c r="C219" s="15" t="n">
        <x:v>45780</x:v>
      </x:c>
      <x:c r="D219" s="15" t="n">
        <x:v>0</x:v>
      </x:c>
      <x:c r="E219" s="15" t="str">
        <x:v>Not Due</x:v>
      </x:c>
    </x:row>
    <x:row r="220">
      <x:c r="A220" s="15" t="str">
        <x:v>PAY00219</x:v>
      </x:c>
      <x:c r="B220" s="15" t="str">
        <x:v>ORD00219</x:v>
      </x:c>
      <x:c r="C220" s="15" t="n">
        <x:v>45936</x:v>
      </x:c>
      <x:c r="D220" s="15" t="n">
        <x:v>43591.84</x:v>
      </x:c>
      <x:c r="E220" s="15" t="str">
        <x:v>Overdue</x:v>
      </x:c>
    </x:row>
    <x:row r="221">
      <x:c r="A221" s="15" t="str">
        <x:v>PAY00220</x:v>
      </x:c>
      <x:c r="B221" s="15" t="str">
        <x:v>ORD00220</x:v>
      </x:c>
      <x:c r="C221" s="15" t="n">
        <x:v>46023</x:v>
      </x:c>
      <x:c r="D221" s="15" t="n">
        <x:v>32166.01</x:v>
      </x:c>
      <x:c r="E221" s="15" t="str">
        <x:v>Paid</x:v>
      </x:c>
    </x:row>
    <x:row r="222">
      <x:c r="A222" s="15" t="str">
        <x:v>PAY00221</x:v>
      </x:c>
      <x:c r="B222" s="15" t="str">
        <x:v>ORD00221</x:v>
      </x:c>
      <x:c r="C222" s="15" t="n">
        <x:v>46074</x:v>
      </x:c>
      <x:c r="D222" s="15" t="n">
        <x:v>6411.41</x:v>
      </x:c>
      <x:c r="E222" s="15" t="str">
        <x:v>Paid</x:v>
      </x:c>
    </x:row>
    <x:row r="223">
      <x:c r="A223" s="15" t="str">
        <x:v>PAY00222</x:v>
      </x:c>
      <x:c r="B223" s="15" t="str">
        <x:v>ORD00222</x:v>
      </x:c>
      <x:c r="C223" s="15" t="n">
        <x:v>45887</x:v>
      </x:c>
      <x:c r="D223" s="15" t="n">
        <x:v>44504.8</x:v>
      </x:c>
      <x:c r="E223" s="15" t="str">
        <x:v>Overdue</x:v>
      </x:c>
    </x:row>
    <x:row r="224">
      <x:c r="A224" s="15" t="str">
        <x:v>PAY00223</x:v>
      </x:c>
      <x:c r="B224" s="15" t="str">
        <x:v>ORD00223</x:v>
      </x:c>
      <x:c r="C224" s="15" t="n">
        <x:v>46142</x:v>
      </x:c>
      <x:c r="D224" s="15" t="n">
        <x:v>6235.84</x:v>
      </x:c>
      <x:c r="E224" s="15" t="str">
        <x:v>Paid</x:v>
      </x:c>
    </x:row>
    <x:row r="225">
      <x:c r="A225" s="15" t="str">
        <x:v>PAY00224</x:v>
      </x:c>
      <x:c r="B225" s="15" t="str">
        <x:v>ORD00224</x:v>
      </x:c>
      <x:c r="C225" s="15" t="n">
        <x:v>45880</x:v>
      </x:c>
      <x:c r="D225" s="15" t="n">
        <x:v>93372.24</x:v>
      </x:c>
      <x:c r="E225" s="15" t="str">
        <x:v>Paid</x:v>
      </x:c>
    </x:row>
    <x:row r="226">
      <x:c r="A226" s="15" t="str">
        <x:v>PAY00225</x:v>
      </x:c>
      <x:c r="B226" s="15" t="str">
        <x:v>ORD00225</x:v>
      </x:c>
      <x:c r="C226" s="15" t="n">
        <x:v>45977</x:v>
      </x:c>
      <x:c r="D226" s="15" t="n">
        <x:v>24027.69</x:v>
      </x:c>
      <x:c r="E226" s="15" t="str">
        <x:v>Paid</x:v>
      </x:c>
    </x:row>
    <x:row r="227">
      <x:c r="A227" s="15" t="str">
        <x:v>PAY00226</x:v>
      </x:c>
      <x:c r="B227" s="15" t="str">
        <x:v>ORD00226</x:v>
      </x:c>
      <x:c r="C227" s="15" t="n">
        <x:v>45900</x:v>
      </x:c>
      <x:c r="D227" s="15" t="n">
        <x:v>0</x:v>
      </x:c>
      <x:c r="E227" s="15" t="str">
        <x:v>Not Due</x:v>
      </x:c>
    </x:row>
    <x:row r="228">
      <x:c r="A228" s="15" t="str">
        <x:v>PAY00227</x:v>
      </x:c>
      <x:c r="B228" s="15" t="str">
        <x:v>ORD00227</x:v>
      </x:c>
      <x:c r="C228" s="15" t="n">
        <x:v>46002</x:v>
      </x:c>
      <x:c r="D228" s="15" t="n">
        <x:v>0</x:v>
      </x:c>
      <x:c r="E228" s="15" t="str">
        <x:v>Overdue</x:v>
      </x:c>
    </x:row>
    <x:row r="229">
      <x:c r="A229" s="15" t="str">
        <x:v>PAY00228</x:v>
      </x:c>
      <x:c r="B229" s="15" t="str">
        <x:v>ORD00228</x:v>
      </x:c>
      <x:c r="C229" s="15" t="n">
        <x:v>46089</x:v>
      </x:c>
      <x:c r="D229" s="15" t="n">
        <x:v>23614.8</x:v>
      </x:c>
      <x:c r="E229" s="15" t="str">
        <x:v>Paid</x:v>
      </x:c>
    </x:row>
    <x:row r="230">
      <x:c r="A230" s="15" t="str">
        <x:v>PAY00229</x:v>
      </x:c>
      <x:c r="B230" s="15" t="str">
        <x:v>ORD00229</x:v>
      </x:c>
      <x:c r="C230" s="15" t="n">
        <x:v>45864</x:v>
      </x:c>
      <x:c r="D230" s="15" t="n">
        <x:v>23480.8</x:v>
      </x:c>
      <x:c r="E230" s="15" t="str">
        <x:v>Paid</x:v>
      </x:c>
    </x:row>
    <x:row r="231">
      <x:c r="A231" s="15" t="str">
        <x:v>PAY00230</x:v>
      </x:c>
      <x:c r="B231" s="15" t="str">
        <x:v>ORD00230</x:v>
      </x:c>
      <x:c r="C231" s="15" t="n">
        <x:v>46105</x:v>
      </x:c>
      <x:c r="D231" s="15" t="n">
        <x:v>111975.88</x:v>
      </x:c>
      <x:c r="E231" s="15" t="str">
        <x:v>Paid</x:v>
      </x:c>
    </x:row>
    <x:row r="232">
      <x:c r="A232" s="15" t="str">
        <x:v>PAY00231</x:v>
      </x:c>
      <x:c r="B232" s="15" t="str">
        <x:v>ORD00231</x:v>
      </x:c>
      <x:c r="C232" s="15" t="n">
        <x:v>45736</x:v>
      </x:c>
      <x:c r="D232" s="15" t="n">
        <x:v>13661.2</x:v>
      </x:c>
      <x:c r="E232" s="15" t="str">
        <x:v>Paid</x:v>
      </x:c>
    </x:row>
    <x:row r="233">
      <x:c r="A233" s="15" t="str">
        <x:v>PAY00232</x:v>
      </x:c>
      <x:c r="B233" s="15" t="str">
        <x:v>ORD00232</x:v>
      </x:c>
      <x:c r="C233" s="15" t="n">
        <x:v>46191</x:v>
      </x:c>
      <x:c r="D233" s="15" t="n">
        <x:v>34513.65</x:v>
      </x:c>
      <x:c r="E233" s="15" t="str">
        <x:v>Not Due</x:v>
      </x:c>
    </x:row>
    <x:row r="234">
      <x:c r="A234" s="15" t="str">
        <x:v>PAY00233</x:v>
      </x:c>
      <x:c r="B234" s="15" t="str">
        <x:v>ORD00233</x:v>
      </x:c>
      <x:c r="C234" s="15" t="n">
        <x:v>46064</x:v>
      </x:c>
      <x:c r="D234" s="15" t="n">
        <x:v>111991.68</x:v>
      </x:c>
      <x:c r="E234" s="15" t="str">
        <x:v>Paid</x:v>
      </x:c>
    </x:row>
    <x:row r="235">
      <x:c r="A235" s="15" t="str">
        <x:v>PAY00234</x:v>
      </x:c>
      <x:c r="B235" s="15" t="str">
        <x:v>ORD00234</x:v>
      </x:c>
      <x:c r="C235" s="15" t="n">
        <x:v>45928</x:v>
      </x:c>
      <x:c r="D235" s="15" t="n">
        <x:v>61685.85</x:v>
      </x:c>
      <x:c r="E235" s="15" t="str">
        <x:v>Paid</x:v>
      </x:c>
    </x:row>
    <x:row r="236">
      <x:c r="A236" s="15" t="str">
        <x:v>PAY00235</x:v>
      </x:c>
      <x:c r="B236" s="15" t="str">
        <x:v>ORD00235</x:v>
      </x:c>
      <x:c r="C236" s="15" t="n">
        <x:v>46068</x:v>
      </x:c>
      <x:c r="D236" s="15" t="n">
        <x:v>119534.61</x:v>
      </x:c>
      <x:c r="E236" s="15" t="str">
        <x:v>Paid</x:v>
      </x:c>
    </x:row>
    <x:row r="237">
      <x:c r="A237" s="15" t="str">
        <x:v>PAY00236</x:v>
      </x:c>
      <x:c r="B237" s="15" t="str">
        <x:v>ORD00236</x:v>
      </x:c>
      <x:c r="C237" s="15" t="n">
        <x:v>46079</x:v>
      </x:c>
      <x:c r="D237" s="15" t="n">
        <x:v>4198.69</x:v>
      </x:c>
      <x:c r="E237" s="15" t="str">
        <x:v>Not Due</x:v>
      </x:c>
    </x:row>
    <x:row r="238">
      <x:c r="A238" s="15" t="str">
        <x:v>PAY00237</x:v>
      </x:c>
      <x:c r="B238" s="15" t="str">
        <x:v>ORD00237</x:v>
      </x:c>
      <x:c r="C238" s="15" t="n">
        <x:v>45975</x:v>
      </x:c>
      <x:c r="D238" s="15" t="n">
        <x:v>85516.61</x:v>
      </x:c>
      <x:c r="E238" s="15" t="str">
        <x:v>Paid</x:v>
      </x:c>
    </x:row>
    <x:row r="239">
      <x:c r="A239" s="15" t="str">
        <x:v>PAY00238</x:v>
      </x:c>
      <x:c r="B239" s="15" t="str">
        <x:v>ORD00238</x:v>
      </x:c>
      <x:c r="C239" s="15" t="n">
        <x:v>46205</x:v>
      </x:c>
      <x:c r="D239" s="15" t="n">
        <x:v>0</x:v>
      </x:c>
      <x:c r="E239" s="15" t="str">
        <x:v>Overdue</x:v>
      </x:c>
    </x:row>
    <x:row r="240">
      <x:c r="A240" s="15" t="str">
        <x:v>PAY00239</x:v>
      </x:c>
      <x:c r="B240" s="15" t="str">
        <x:v>ORD00239</x:v>
      </x:c>
      <x:c r="C240" s="15" t="n">
        <x:v>46031</x:v>
      </x:c>
      <x:c r="D240" s="15" t="n">
        <x:v>0</x:v>
      </x:c>
      <x:c r="E240" s="15" t="str">
        <x:v>Not Due</x:v>
      </x:c>
    </x:row>
    <x:row r="241">
      <x:c r="A241" s="15" t="str">
        <x:v>PAY00240</x:v>
      </x:c>
      <x:c r="B241" s="15" t="str">
        <x:v>ORD00240</x:v>
      </x:c>
      <x:c r="C241" s="15" t="n">
        <x:v>45701</x:v>
      </x:c>
      <x:c r="D241" s="15" t="n">
        <x:v>18470.33</x:v>
      </x:c>
      <x:c r="E241" s="15" t="str">
        <x:v>Paid</x:v>
      </x:c>
    </x:row>
    <x:row r="242">
      <x:c r="A242" s="15" t="str">
        <x:v>PAY00241</x:v>
      </x:c>
      <x:c r="B242" s="15" t="str">
        <x:v>ORD00241</x:v>
      </x:c>
      <x:c r="C242" s="15" t="n">
        <x:v>45929</x:v>
      </x:c>
      <x:c r="D242" s="15" t="n">
        <x:v>59891.24</x:v>
      </x:c>
      <x:c r="E242" s="15" t="str">
        <x:v>Paid</x:v>
      </x:c>
    </x:row>
    <x:row r="243">
      <x:c r="A243" s="15" t="str">
        <x:v>PAY00242</x:v>
      </x:c>
      <x:c r="B243" s="15" t="str">
        <x:v>ORD00242</x:v>
      </x:c>
      <x:c r="C243" s="15" t="n">
        <x:v>46023</x:v>
      </x:c>
      <x:c r="D243" s="15" t="n">
        <x:v>65626.79</x:v>
      </x:c>
      <x:c r="E243" s="15" t="str">
        <x:v>Paid</x:v>
      </x:c>
    </x:row>
    <x:row r="244">
      <x:c r="A244" s="15" t="str">
        <x:v>PAY00243</x:v>
      </x:c>
      <x:c r="B244" s="15" t="str">
        <x:v>ORD00243</x:v>
      </x:c>
      <x:c r="C244" s="15" t="n">
        <x:v>45741</x:v>
      </x:c>
      <x:c r="D244" s="15" t="n">
        <x:v>1553.73</x:v>
      </x:c>
      <x:c r="E244" s="15" t="str">
        <x:v>Not Due</x:v>
      </x:c>
    </x:row>
    <x:row r="245">
      <x:c r="A245" s="15" t="str">
        <x:v>PAY00244</x:v>
      </x:c>
      <x:c r="B245" s="15" t="str">
        <x:v>ORD00244</x:v>
      </x:c>
      <x:c r="C245" s="15" t="n">
        <x:v>46213</x:v>
      </x:c>
      <x:c r="D245" s="15" t="n">
        <x:v>19585.89</x:v>
      </x:c>
      <x:c r="E245" s="15" t="str">
        <x:v>Not Due</x:v>
      </x:c>
    </x:row>
    <x:row r="246">
      <x:c r="A246" s="15" t="str">
        <x:v>PAY00245</x:v>
      </x:c>
      <x:c r="B246" s="15" t="str">
        <x:v>ORD00245</x:v>
      </x:c>
      <x:c r="C246" s="15" t="n">
        <x:v>45840</x:v>
      </x:c>
      <x:c r="D246" s="15" t="n">
        <x:v>112564.24</x:v>
      </x:c>
      <x:c r="E246" s="15" t="str">
        <x:v>Paid</x:v>
      </x:c>
    </x:row>
    <x:row r="247">
      <x:c r="A247" s="15" t="str">
        <x:v>PAY00246</x:v>
      </x:c>
      <x:c r="B247" s="15" t="str">
        <x:v>ORD00246</x:v>
      </x:c>
      <x:c r="C247" s="15" t="n">
        <x:v>45938</x:v>
      </x:c>
      <x:c r="D247" s="15" t="n">
        <x:v>55329.43</x:v>
      </x:c>
      <x:c r="E247" s="15" t="str">
        <x:v>Paid</x:v>
      </x:c>
    </x:row>
    <x:row r="248">
      <x:c r="A248" s="15" t="str">
        <x:v>PAY00247</x:v>
      </x:c>
      <x:c r="B248" s="15" t="str">
        <x:v>ORD00247</x:v>
      </x:c>
      <x:c r="C248" s="15" t="n">
        <x:v>46001</x:v>
      </x:c>
      <x:c r="D248" s="15" t="n">
        <x:v>20557.85</x:v>
      </x:c>
      <x:c r="E248" s="15" t="str">
        <x:v>Paid</x:v>
      </x:c>
    </x:row>
    <x:row r="249">
      <x:c r="A249" s="15" t="str">
        <x:v>PAY00248</x:v>
      </x:c>
      <x:c r="B249" s="15" t="str">
        <x:v>ORD00248</x:v>
      </x:c>
      <x:c r="C249" s="15" t="n">
        <x:v>45959</x:v>
      </x:c>
      <x:c r="D249" s="15" t="n">
        <x:v>93071.67</x:v>
      </x:c>
      <x:c r="E249" s="15" t="str">
        <x:v>Paid</x:v>
      </x:c>
    </x:row>
    <x:row r="250">
      <x:c r="A250" s="15" t="str">
        <x:v>PAY00249</x:v>
      </x:c>
      <x:c r="B250" s="15" t="str">
        <x:v>ORD00249</x:v>
      </x:c>
      <x:c r="C250" s="15" t="n">
        <x:v>45748</x:v>
      </x:c>
      <x:c r="D250" s="15" t="n">
        <x:v>1148.84</x:v>
      </x:c>
      <x:c r="E250" s="15" t="str">
        <x:v>Paid</x:v>
      </x:c>
    </x:row>
    <x:row r="251">
      <x:c r="A251" s="15" t="str">
        <x:v>PAY00250</x:v>
      </x:c>
      <x:c r="B251" s="15" t="str">
        <x:v>ORD00250</x:v>
      </x:c>
      <x:c r="C251" s="15" t="n">
        <x:v>45885</x:v>
      </x:c>
      <x:c r="D251" s="15" t="n">
        <x:v>48437.03</x:v>
      </x:c>
      <x:c r="E251" s="15" t="str">
        <x:v>Paid</x:v>
      </x:c>
    </x:row>
    <x:row r="252">
      <x:c r="A252" s="15" t="str">
        <x:v>PAY00251</x:v>
      </x:c>
      <x:c r="B252" s="15" t="str">
        <x:v>ORD00251</x:v>
      </x:c>
      <x:c r="C252" s="15" t="n">
        <x:v>46174</x:v>
      </x:c>
      <x:c r="D252" s="15" t="n">
        <x:v>8863.91</x:v>
      </x:c>
      <x:c r="E252" s="15" t="str">
        <x:v>Not Due</x:v>
      </x:c>
    </x:row>
    <x:row r="253">
      <x:c r="A253" s="15" t="str">
        <x:v>PAY00252</x:v>
      </x:c>
      <x:c r="B253" s="15" t="str">
        <x:v>ORD00252</x:v>
      </x:c>
      <x:c r="C253" s="15" t="n">
        <x:v>46191</x:v>
      </x:c>
      <x:c r="D253" s="15" t="n">
        <x:v>91158.43</x:v>
      </x:c>
      <x:c r="E253" s="15" t="str">
        <x:v>Paid</x:v>
      </x:c>
    </x:row>
    <x:row r="254">
      <x:c r="A254" s="15" t="str">
        <x:v>PAY00253</x:v>
      </x:c>
      <x:c r="B254" s="15" t="str">
        <x:v>ORD00253</x:v>
      </x:c>
      <x:c r="C254" s="15" t="n">
        <x:v>46205</x:v>
      </x:c>
      <x:c r="D254" s="15" t="n">
        <x:v>80890.01</x:v>
      </x:c>
      <x:c r="E254" s="15" t="str">
        <x:v>Paid</x:v>
      </x:c>
    </x:row>
    <x:row r="255">
      <x:c r="A255" s="15" t="str">
        <x:v>PAY00254</x:v>
      </x:c>
      <x:c r="B255" s="15" t="str">
        <x:v>ORD00254</x:v>
      </x:c>
      <x:c r="C255" s="15" t="n">
        <x:v>45802</x:v>
      </x:c>
      <x:c r="D255" s="15" t="n">
        <x:v>54607.1</x:v>
      </x:c>
      <x:c r="E255" s="15" t="str">
        <x:v>Paid</x:v>
      </x:c>
    </x:row>
    <x:row r="256">
      <x:c r="A256" s="15" t="str">
        <x:v>PAY00255</x:v>
      </x:c>
      <x:c r="B256" s="15" t="str">
        <x:v>ORD00255</x:v>
      </x:c>
      <x:c r="C256" s="15" t="n">
        <x:v>45726</x:v>
      </x:c>
      <x:c r="D256" s="15" t="n">
        <x:v>37360.48</x:v>
      </x:c>
      <x:c r="E256" s="15" t="str">
        <x:v>Not Due</x:v>
      </x:c>
    </x:row>
    <x:row r="257">
      <x:c r="A257" s="15" t="str">
        <x:v>PAY00256</x:v>
      </x:c>
      <x:c r="B257" s="15" t="str">
        <x:v>ORD00256</x:v>
      </x:c>
      <x:c r="C257" s="15" t="n">
        <x:v>46206</x:v>
      </x:c>
      <x:c r="D257" s="15" t="n">
        <x:v>0</x:v>
      </x:c>
      <x:c r="E257" s="15" t="str">
        <x:v>Not Due</x:v>
      </x:c>
    </x:row>
    <x:row r="258">
      <x:c r="A258" s="15" t="str">
        <x:v>PAY00257</x:v>
      </x:c>
      <x:c r="B258" s="15" t="str">
        <x:v>ORD00257</x:v>
      </x:c>
      <x:c r="C258" s="15" t="n">
        <x:v>46057</x:v>
      </x:c>
      <x:c r="D258" s="15" t="n">
        <x:v>76890.21</x:v>
      </x:c>
      <x:c r="E258" s="15" t="str">
        <x:v>Paid</x:v>
      </x:c>
    </x:row>
    <x:row r="259">
      <x:c r="A259" s="15" t="str">
        <x:v>PAY00258</x:v>
      </x:c>
      <x:c r="B259" s="15" t="str">
        <x:v>ORD00258</x:v>
      </x:c>
      <x:c r="C259" s="15" t="n">
        <x:v>45996</x:v>
      </x:c>
      <x:c r="D259" s="15" t="n">
        <x:v>37527.01</x:v>
      </x:c>
      <x:c r="E259" s="15" t="str">
        <x:v>Paid</x:v>
      </x:c>
    </x:row>
    <x:row r="260">
      <x:c r="A260" s="15" t="str">
        <x:v>PAY00259</x:v>
      </x:c>
      <x:c r="B260" s="15" t="str">
        <x:v>ORD00259</x:v>
      </x:c>
      <x:c r="C260" s="15" t="n">
        <x:v>46009</x:v>
      </x:c>
      <x:c r="D260" s="15" t="n">
        <x:v>0</x:v>
      </x:c>
      <x:c r="E260" s="15" t="str">
        <x:v>Overdue</x:v>
      </x:c>
    </x:row>
    <x:row r="261">
      <x:c r="A261" s="15" t="str">
        <x:v>PAY00260</x:v>
      </x:c>
      <x:c r="B261" s="15" t="str">
        <x:v>ORD00260</x:v>
      </x:c>
      <x:c r="C261" s="15" t="n">
        <x:v>45788</x:v>
      </x:c>
      <x:c r="D261" s="15" t="n">
        <x:v>20482.75</x:v>
      </x:c>
      <x:c r="E261" s="15" t="str">
        <x:v>Not Due</x:v>
      </x:c>
    </x:row>
    <x:row r="262">
      <x:c r="A262" s="15" t="str">
        <x:v>PAY00261</x:v>
      </x:c>
      <x:c r="B262" s="15" t="str">
        <x:v>ORD00261</x:v>
      </x:c>
      <x:c r="C262" s="15" t="n">
        <x:v>46144</x:v>
      </x:c>
      <x:c r="D262" s="15" t="n">
        <x:v>17122.14</x:v>
      </x:c>
      <x:c r="E262" s="15" t="str">
        <x:v>Paid</x:v>
      </x:c>
    </x:row>
    <x:row r="263">
      <x:c r="A263" s="15" t="str">
        <x:v>PAY00262</x:v>
      </x:c>
      <x:c r="B263" s="15" t="str">
        <x:v>ORD00262</x:v>
      </x:c>
      <x:c r="C263" s="15" t="n">
        <x:v>45969</x:v>
      </x:c>
      <x:c r="D263" s="15" t="n">
        <x:v>81428.3</x:v>
      </x:c>
      <x:c r="E263" s="15" t="str">
        <x:v>Paid</x:v>
      </x:c>
    </x:row>
    <x:row r="264">
      <x:c r="A264" s="15" t="str">
        <x:v>PAY00263</x:v>
      </x:c>
      <x:c r="B264" s="15" t="str">
        <x:v>ORD00263</x:v>
      </x:c>
      <x:c r="C264" s="15" t="n">
        <x:v>45948</x:v>
      </x:c>
      <x:c r="D264" s="15" t="n">
        <x:v>87636.38</x:v>
      </x:c>
      <x:c r="E264" s="15" t="str">
        <x:v>Paid</x:v>
      </x:c>
    </x:row>
    <x:row r="265">
      <x:c r="A265" s="15" t="str">
        <x:v>PAY00264</x:v>
      </x:c>
      <x:c r="B265" s="15" t="str">
        <x:v>ORD00264</x:v>
      </x:c>
      <x:c r="C265" s="15" t="n">
        <x:v>45818</x:v>
      </x:c>
      <x:c r="D265" s="15" t="n">
        <x:v>44449.22</x:v>
      </x:c>
      <x:c r="E265" s="15" t="str">
        <x:v>Overdue</x:v>
      </x:c>
    </x:row>
    <x:row r="266">
      <x:c r="A266" s="15" t="str">
        <x:v>PAY00265</x:v>
      </x:c>
      <x:c r="B266" s="15" t="str">
        <x:v>ORD00265</x:v>
      </x:c>
      <x:c r="C266" s="15" t="n">
        <x:v>46032</x:v>
      </x:c>
      <x:c r="D266" s="15" t="n">
        <x:v>56682.15</x:v>
      </x:c>
      <x:c r="E266" s="15" t="str">
        <x:v>Paid</x:v>
      </x:c>
    </x:row>
    <x:row r="267">
      <x:c r="A267" s="15" t="str">
        <x:v>PAY00266</x:v>
      </x:c>
      <x:c r="B267" s="15" t="str">
        <x:v>ORD00266</x:v>
      </x:c>
      <x:c r="C267" s="15" t="n">
        <x:v>45998</x:v>
      </x:c>
      <x:c r="D267" s="15" t="n">
        <x:v>24323.27</x:v>
      </x:c>
      <x:c r="E267" s="15" t="str">
        <x:v>Not Due</x:v>
      </x:c>
    </x:row>
    <x:row r="268">
      <x:c r="A268" s="15" t="str">
        <x:v>PAY00267</x:v>
      </x:c>
      <x:c r="B268" s="15" t="str">
        <x:v>ORD00267</x:v>
      </x:c>
      <x:c r="C268" s="15" t="n">
        <x:v>46105</x:v>
      </x:c>
      <x:c r="D268" s="15" t="n">
        <x:v>71949.88</x:v>
      </x:c>
      <x:c r="E268" s="15" t="str">
        <x:v>Paid</x:v>
      </x:c>
    </x:row>
    <x:row r="269">
      <x:c r="A269" s="15" t="str">
        <x:v>PAY00268</x:v>
      </x:c>
      <x:c r="B269" s="15" t="str">
        <x:v>ORD00268</x:v>
      </x:c>
      <x:c r="C269" s="15" t="n">
        <x:v>46128</x:v>
      </x:c>
      <x:c r="D269" s="15" t="n">
        <x:v>11753.16</x:v>
      </x:c>
      <x:c r="E269" s="15" t="str">
        <x:v>Paid</x:v>
      </x:c>
    </x:row>
    <x:row r="270">
      <x:c r="A270" s="15" t="str">
        <x:v>PAY00269</x:v>
      </x:c>
      <x:c r="B270" s="15" t="str">
        <x:v>ORD00269</x:v>
      </x:c>
      <x:c r="C270" s="15" t="n">
        <x:v>45699</x:v>
      </x:c>
      <x:c r="D270" s="15" t="n">
        <x:v>0</x:v>
      </x:c>
      <x:c r="E270" s="15" t="str">
        <x:v>Overdue</x:v>
      </x:c>
    </x:row>
    <x:row r="271">
      <x:c r="A271" s="15" t="str">
        <x:v>PAY00270</x:v>
      </x:c>
      <x:c r="B271" s="15" t="str">
        <x:v>ORD00270</x:v>
      </x:c>
      <x:c r="C271" s="15" t="n">
        <x:v>45846</x:v>
      </x:c>
      <x:c r="D271" s="15" t="n">
        <x:v>73218.41</x:v>
      </x:c>
      <x:c r="E271" s="15" t="str">
        <x:v>Paid</x:v>
      </x:c>
    </x:row>
    <x:row r="272">
      <x:c r="A272" s="15" t="str">
        <x:v>PAY00271</x:v>
      </x:c>
      <x:c r="B272" s="15" t="str">
        <x:v>ORD00271</x:v>
      </x:c>
      <x:c r="C272" s="15" t="n">
        <x:v>45690</x:v>
      </x:c>
      <x:c r="D272" s="15" t="n">
        <x:v>56561.37</x:v>
      </x:c>
      <x:c r="E272" s="15" t="str">
        <x:v>Paid</x:v>
      </x:c>
    </x:row>
    <x:row r="273">
      <x:c r="A273" s="15" t="str">
        <x:v>PAY00272</x:v>
      </x:c>
      <x:c r="B273" s="15" t="str">
        <x:v>ORD00272</x:v>
      </x:c>
      <x:c r="C273" s="15" t="n">
        <x:v>45974</x:v>
      </x:c>
      <x:c r="D273" s="15" t="n">
        <x:v>74573.26</x:v>
      </x:c>
      <x:c r="E273" s="15" t="str">
        <x:v>Overdue</x:v>
      </x:c>
    </x:row>
    <x:row r="274">
      <x:c r="A274" s="15" t="str">
        <x:v>PAY00273</x:v>
      </x:c>
      <x:c r="B274" s="15" t="str">
        <x:v>ORD00273</x:v>
      </x:c>
      <x:c r="C274" s="15" t="n">
        <x:v>46080</x:v>
      </x:c>
      <x:c r="D274" s="15" t="n">
        <x:v>49946.89</x:v>
      </x:c>
      <x:c r="E274" s="15" t="str">
        <x:v>Paid</x:v>
      </x:c>
    </x:row>
    <x:row r="275">
      <x:c r="A275" s="15" t="str">
        <x:v>PAY00274</x:v>
      </x:c>
      <x:c r="B275" s="15" t="str">
        <x:v>ORD00274</x:v>
      </x:c>
      <x:c r="C275" s="15" t="n">
        <x:v>45802</x:v>
      </x:c>
      <x:c r="D275" s="15" t="n">
        <x:v>9437.7</x:v>
      </x:c>
      <x:c r="E275" s="15" t="str">
        <x:v>Paid</x:v>
      </x:c>
    </x:row>
    <x:row r="276">
      <x:c r="A276" s="15" t="str">
        <x:v>PAY00275</x:v>
      </x:c>
      <x:c r="B276" s="15" t="str">
        <x:v>ORD00275</x:v>
      </x:c>
      <x:c r="C276" s="15" t="n">
        <x:v>46019</x:v>
      </x:c>
      <x:c r="D276" s="15" t="n">
        <x:v>96861.5</x:v>
      </x:c>
      <x:c r="E276" s="15" t="str">
        <x:v>Paid</x:v>
      </x:c>
    </x:row>
    <x:row r="277">
      <x:c r="A277" s="15" t="str">
        <x:v>PAY00276</x:v>
      </x:c>
      <x:c r="B277" s="15" t="str">
        <x:v>ORD00276</x:v>
      </x:c>
      <x:c r="C277" s="15" t="n">
        <x:v>45864</x:v>
      </x:c>
      <x:c r="D277" s="15" t="n">
        <x:v>13914.61</x:v>
      </x:c>
      <x:c r="E277" s="15" t="str">
        <x:v>Paid</x:v>
      </x:c>
    </x:row>
    <x:row r="278">
      <x:c r="A278" s="15" t="str">
        <x:v>PAY00277</x:v>
      </x:c>
      <x:c r="B278" s="15" t="str">
        <x:v>ORD00277</x:v>
      </x:c>
      <x:c r="C278" s="15" t="n">
        <x:v>45949</x:v>
      </x:c>
      <x:c r="D278" s="15" t="n">
        <x:v>15302.23</x:v>
      </x:c>
      <x:c r="E278" s="15" t="str">
        <x:v>Not Due</x:v>
      </x:c>
    </x:row>
    <x:row r="279">
      <x:c r="A279" s="15" t="str">
        <x:v>PAY00278</x:v>
      </x:c>
      <x:c r="B279" s="15" t="str">
        <x:v>ORD00278</x:v>
      </x:c>
      <x:c r="C279" s="15" t="n">
        <x:v>45865</x:v>
      </x:c>
      <x:c r="D279" s="15" t="n">
        <x:v>66425.52</x:v>
      </x:c>
      <x:c r="E279" s="15" t="str">
        <x:v>Paid</x:v>
      </x:c>
    </x:row>
    <x:row r="280">
      <x:c r="A280" s="15" t="str">
        <x:v>PAY00279</x:v>
      </x:c>
      <x:c r="B280" s="15" t="str">
        <x:v>ORD00279</x:v>
      </x:c>
      <x:c r="C280" s="15" t="n">
        <x:v>45976</x:v>
      </x:c>
      <x:c r="D280" s="15" t="n">
        <x:v>67968.04</x:v>
      </x:c>
      <x:c r="E280" s="15" t="str">
        <x:v>Paid</x:v>
      </x:c>
    </x:row>
    <x:row r="281">
      <x:c r="A281" s="15" t="str">
        <x:v>PAY00280</x:v>
      </x:c>
      <x:c r="B281" s="15" t="str">
        <x:v>ORD00280</x:v>
      </x:c>
      <x:c r="C281" s="15" t="n">
        <x:v>45789</x:v>
      </x:c>
      <x:c r="D281" s="15" t="n">
        <x:v>24218.81</x:v>
      </x:c>
      <x:c r="E281" s="15" t="str">
        <x:v>Paid</x:v>
      </x:c>
    </x:row>
    <x:row r="282">
      <x:c r="A282" s="15" t="str">
        <x:v>PAY00281</x:v>
      </x:c>
      <x:c r="B282" s="15" t="str">
        <x:v>ORD00281</x:v>
      </x:c>
      <x:c r="C282" s="15" t="n">
        <x:v>45814</x:v>
      </x:c>
      <x:c r="D282" s="15" t="n">
        <x:v>70016.77</x:v>
      </x:c>
      <x:c r="E282" s="15" t="str">
        <x:v>Paid</x:v>
      </x:c>
    </x:row>
    <x:row r="283">
      <x:c r="A283" s="15" t="str">
        <x:v>PAY00282</x:v>
      </x:c>
      <x:c r="B283" s="15" t="str">
        <x:v>ORD00282</x:v>
      </x:c>
      <x:c r="C283" s="15" t="n">
        <x:v>46015</x:v>
      </x:c>
      <x:c r="D283" s="15" t="n">
        <x:v>74656.94</x:v>
      </x:c>
      <x:c r="E283" s="15" t="str">
        <x:v>Paid</x:v>
      </x:c>
    </x:row>
    <x:row r="284">
      <x:c r="A284" s="15" t="str">
        <x:v>PAY00283</x:v>
      </x:c>
      <x:c r="B284" s="15" t="str">
        <x:v>ORD00283</x:v>
      </x:c>
      <x:c r="C284" s="15" t="n">
        <x:v>45789</x:v>
      </x:c>
      <x:c r="D284" s="15" t="n">
        <x:v>66779.79</x:v>
      </x:c>
      <x:c r="E284" s="15" t="str">
        <x:v>Paid</x:v>
      </x:c>
    </x:row>
    <x:row r="285">
      <x:c r="A285" s="15" t="str">
        <x:v>PAY00284</x:v>
      </x:c>
      <x:c r="B285" s="15" t="str">
        <x:v>ORD00284</x:v>
      </x:c>
      <x:c r="C285" s="15" t="n">
        <x:v>46025</x:v>
      </x:c>
      <x:c r="D285" s="15" t="n">
        <x:v>69766.68</x:v>
      </x:c>
      <x:c r="E285" s="15" t="str">
        <x:v>Paid</x:v>
      </x:c>
    </x:row>
    <x:row r="286">
      <x:c r="A286" s="15" t="str">
        <x:v>PAY00285</x:v>
      </x:c>
      <x:c r="B286" s="15" t="str">
        <x:v>ORD00285</x:v>
      </x:c>
      <x:c r="C286" s="15" t="n">
        <x:v>45975</x:v>
      </x:c>
      <x:c r="D286" s="15" t="n">
        <x:v>22492.72</x:v>
      </x:c>
      <x:c r="E286" s="15" t="str">
        <x:v>Paid</x:v>
      </x:c>
    </x:row>
    <x:row r="287">
      <x:c r="A287" s="15" t="str">
        <x:v>PAY00286</x:v>
      </x:c>
      <x:c r="B287" s="15" t="str">
        <x:v>ORD00286</x:v>
      </x:c>
      <x:c r="C287" s="15" t="n">
        <x:v>46059</x:v>
      </x:c>
      <x:c r="D287" s="15" t="n">
        <x:v>62918.57</x:v>
      </x:c>
      <x:c r="E287" s="15" t="str">
        <x:v>Paid</x:v>
      </x:c>
    </x:row>
    <x:row r="288">
      <x:c r="A288" s="15" t="str">
        <x:v>PAY00287</x:v>
      </x:c>
      <x:c r="B288" s="15" t="str">
        <x:v>ORD00287</x:v>
      </x:c>
      <x:c r="C288" s="15" t="n">
        <x:v>46074</x:v>
      </x:c>
      <x:c r="D288" s="15" t="n">
        <x:v>54253.64</x:v>
      </x:c>
      <x:c r="E288" s="15" t="str">
        <x:v>Paid</x:v>
      </x:c>
    </x:row>
    <x:row r="289">
      <x:c r="A289" s="15" t="str">
        <x:v>PAY00288</x:v>
      </x:c>
      <x:c r="B289" s="15" t="str">
        <x:v>ORD00288</x:v>
      </x:c>
      <x:c r="C289" s="15" t="n">
        <x:v>45842</x:v>
      </x:c>
      <x:c r="D289" s="15" t="n">
        <x:v>121170.12</x:v>
      </x:c>
      <x:c r="E289" s="15" t="str">
        <x:v>Paid</x:v>
      </x:c>
    </x:row>
    <x:row r="290">
      <x:c r="A290" s="15" t="str">
        <x:v>PAY00289</x:v>
      </x:c>
      <x:c r="B290" s="15" t="str">
        <x:v>ORD00289</x:v>
      </x:c>
      <x:c r="C290" s="15" t="n">
        <x:v>46103</x:v>
      </x:c>
      <x:c r="D290" s="15" t="n">
        <x:v>51492.01</x:v>
      </x:c>
      <x:c r="E290" s="15" t="str">
        <x:v>Paid</x:v>
      </x:c>
    </x:row>
    <x:row r="291">
      <x:c r="A291" s="15" t="str">
        <x:v>PAY00290</x:v>
      </x:c>
      <x:c r="B291" s="15" t="str">
        <x:v>ORD00290</x:v>
      </x:c>
      <x:c r="C291" s="15" t="n">
        <x:v>46105</x:v>
      </x:c>
      <x:c r="D291" s="15" t="n">
        <x:v>84940.84</x:v>
      </x:c>
      <x:c r="E291" s="15" t="str">
        <x:v>Paid</x:v>
      </x:c>
    </x:row>
    <x:row r="292">
      <x:c r="A292" s="15" t="str">
        <x:v>PAY00291</x:v>
      </x:c>
      <x:c r="B292" s="15" t="str">
        <x:v>ORD00291</x:v>
      </x:c>
      <x:c r="C292" s="15" t="n">
        <x:v>46062</x:v>
      </x:c>
      <x:c r="D292" s="15" t="n">
        <x:v>5607.94</x:v>
      </x:c>
      <x:c r="E292" s="15" t="str">
        <x:v>Paid</x:v>
      </x:c>
    </x:row>
    <x:row r="293">
      <x:c r="A293" s="15" t="str">
        <x:v>PAY00292</x:v>
      </x:c>
      <x:c r="B293" s="15" t="str">
        <x:v>ORD00292</x:v>
      </x:c>
      <x:c r="C293" s="15" t="n">
        <x:v>46052</x:v>
      </x:c>
      <x:c r="D293" s="15" t="n">
        <x:v>21405.81</x:v>
      </x:c>
      <x:c r="E293" s="15" t="str">
        <x:v>Paid</x:v>
      </x:c>
    </x:row>
    <x:row r="294">
      <x:c r="A294" s="15" t="str">
        <x:v>PAY00293</x:v>
      </x:c>
      <x:c r="B294" s="15" t="str">
        <x:v>ORD00293</x:v>
      </x:c>
      <x:c r="C294" s="15" t="n">
        <x:v>45766</x:v>
      </x:c>
      <x:c r="D294" s="15" t="n">
        <x:v>63506.02</x:v>
      </x:c>
      <x:c r="E294" s="15" t="str">
        <x:v>Paid</x:v>
      </x:c>
    </x:row>
    <x:row r="295">
      <x:c r="A295" s="15" t="str">
        <x:v>PAY00294</x:v>
      </x:c>
      <x:c r="B295" s="15" t="str">
        <x:v>ORD00294</x:v>
      </x:c>
      <x:c r="C295" s="15" t="n">
        <x:v>46160</x:v>
      </x:c>
      <x:c r="D295" s="15" t="n">
        <x:v>0</x:v>
      </x:c>
      <x:c r="E295" s="15" t="str">
        <x:v>Not Due</x:v>
      </x:c>
    </x:row>
    <x:row r="296">
      <x:c r="A296" s="15" t="str">
        <x:v>PAY00295</x:v>
      </x:c>
      <x:c r="B296" s="15" t="str">
        <x:v>ORD00295</x:v>
      </x:c>
      <x:c r="C296" s="15" t="n">
        <x:v>45952</x:v>
      </x:c>
      <x:c r="D296" s="15" t="n">
        <x:v>7135.27</x:v>
      </x:c>
      <x:c r="E296" s="15" t="str">
        <x:v>Paid</x:v>
      </x:c>
    </x:row>
    <x:row r="297">
      <x:c r="A297" s="15" t="str">
        <x:v>PAY00296</x:v>
      </x:c>
      <x:c r="B297" s="15" t="str">
        <x:v>ORD00296</x:v>
      </x:c>
      <x:c r="C297" s="15" t="n">
        <x:v>46062</x:v>
      </x:c>
      <x:c r="D297" s="15" t="n">
        <x:v>90993.64</x:v>
      </x:c>
      <x:c r="E297" s="15" t="str">
        <x:v>Paid</x:v>
      </x:c>
    </x:row>
    <x:row r="298">
      <x:c r="A298" s="15" t="str">
        <x:v>PAY00297</x:v>
      </x:c>
      <x:c r="B298" s="15" t="str">
        <x:v>ORD00297</x:v>
      </x:c>
      <x:c r="C298" s="15" t="n">
        <x:v>45860</x:v>
      </x:c>
      <x:c r="D298" s="15" t="n">
        <x:v>52910</x:v>
      </x:c>
      <x:c r="E298" s="15" t="str">
        <x:v>Paid</x:v>
      </x:c>
    </x:row>
    <x:row r="299">
      <x:c r="A299" s="15" t="str">
        <x:v>PAY00298</x:v>
      </x:c>
      <x:c r="B299" s="15" t="str">
        <x:v>ORD00298</x:v>
      </x:c>
      <x:c r="C299" s="15" t="n">
        <x:v>45723</x:v>
      </x:c>
      <x:c r="D299" s="15" t="n">
        <x:v>0</x:v>
      </x:c>
      <x:c r="E299" s="15" t="str">
        <x:v>Overdue</x:v>
      </x:c>
    </x:row>
    <x:row r="300">
      <x:c r="A300" s="15" t="str">
        <x:v>PAY00299</x:v>
      </x:c>
      <x:c r="B300" s="15" t="str">
        <x:v>ORD00299</x:v>
      </x:c>
      <x:c r="C300" s="15" t="n">
        <x:v>45806</x:v>
      </x:c>
      <x:c r="D300" s="15" t="n">
        <x:v>12812.88</x:v>
      </x:c>
      <x:c r="E300" s="15" t="str">
        <x:v>Paid</x:v>
      </x:c>
    </x:row>
    <x:row r="301">
      <x:c r="A301" s="15" t="str">
        <x:v>PAY00300</x:v>
      </x:c>
      <x:c r="B301" s="15" t="str">
        <x:v>ORD00300</x:v>
      </x:c>
      <x:c r="C301" s="15" t="n">
        <x:v>45776</x:v>
      </x:c>
      <x:c r="D301" s="15" t="n">
        <x:v>8148.26</x:v>
      </x:c>
      <x:c r="E301" s="15" t="str">
        <x:v>Not Due</x:v>
      </x:c>
    </x:row>
    <x:row r="302">
      <x:c r="A302" s="15" t="str">
        <x:v>PAY00301</x:v>
      </x:c>
      <x:c r="B302" s="15" t="str">
        <x:v>ORD00301</x:v>
      </x:c>
      <x:c r="C302" s="15" t="n">
        <x:v>46224</x:v>
      </x:c>
      <x:c r="D302" s="15" t="n">
        <x:v>30155.03</x:v>
      </x:c>
      <x:c r="E302" s="15" t="str">
        <x:v>Not Due</x:v>
      </x:c>
    </x:row>
    <x:row r="303">
      <x:c r="A303" s="15" t="str">
        <x:v>PAY00302</x:v>
      </x:c>
      <x:c r="B303" s="15" t="str">
        <x:v>ORD00302</x:v>
      </x:c>
      <x:c r="C303" s="15" t="n">
        <x:v>45901</x:v>
      </x:c>
      <x:c r="D303" s="15" t="n">
        <x:v>0</x:v>
      </x:c>
      <x:c r="E303" s="15" t="str">
        <x:v>Not Due</x:v>
      </x:c>
    </x:row>
    <x:row r="304">
      <x:c r="A304" s="15" t="str">
        <x:v>PAY00303</x:v>
      </x:c>
      <x:c r="B304" s="15" t="str">
        <x:v>ORD00303</x:v>
      </x:c>
      <x:c r="C304" s="15" t="n">
        <x:v>45998</x:v>
      </x:c>
      <x:c r="D304" s="15" t="n">
        <x:v>61018.89</x:v>
      </x:c>
      <x:c r="E304" s="15" t="str">
        <x:v>Paid</x:v>
      </x:c>
    </x:row>
    <x:row r="305">
      <x:c r="A305" s="15" t="str">
        <x:v>PAY00304</x:v>
      </x:c>
      <x:c r="B305" s="15" t="str">
        <x:v>ORD00304</x:v>
      </x:c>
      <x:c r="C305" s="15" t="n">
        <x:v>45866</x:v>
      </x:c>
      <x:c r="D305" s="15" t="n">
        <x:v>16395.76</x:v>
      </x:c>
      <x:c r="E305" s="15" t="str">
        <x:v>Overdue</x:v>
      </x:c>
    </x:row>
    <x:row r="306">
      <x:c r="A306" s="15" t="str">
        <x:v>PAY00305</x:v>
      </x:c>
      <x:c r="B306" s="15" t="str">
        <x:v>ORD00305</x:v>
      </x:c>
      <x:c r="C306" s="15" t="n">
        <x:v>46143</x:v>
      </x:c>
      <x:c r="D306" s="15" t="n">
        <x:v>53475.02</x:v>
      </x:c>
      <x:c r="E306" s="15" t="str">
        <x:v>Paid</x:v>
      </x:c>
    </x:row>
    <x:row r="307">
      <x:c r="A307" s="15" t="str">
        <x:v>PAY00306</x:v>
      </x:c>
      <x:c r="B307" s="15" t="str">
        <x:v>ORD00306</x:v>
      </x:c>
      <x:c r="C307" s="15" t="n">
        <x:v>46045</x:v>
      </x:c>
      <x:c r="D307" s="15" t="n">
        <x:v>37247.36</x:v>
      </x:c>
      <x:c r="E307" s="15" t="str">
        <x:v>Paid</x:v>
      </x:c>
    </x:row>
    <x:row r="308">
      <x:c r="A308" s="15" t="str">
        <x:v>PAY00307</x:v>
      </x:c>
      <x:c r="B308" s="15" t="str">
        <x:v>ORD00307</x:v>
      </x:c>
      <x:c r="C308" s="15" t="n">
        <x:v>46134</x:v>
      </x:c>
      <x:c r="D308" s="15" t="n">
        <x:v>3032.27</x:v>
      </x:c>
      <x:c r="E308" s="15" t="str">
        <x:v>Not Due</x:v>
      </x:c>
    </x:row>
    <x:row r="309">
      <x:c r="A309" s="15" t="str">
        <x:v>PAY00308</x:v>
      </x:c>
      <x:c r="B309" s="15" t="str">
        <x:v>ORD00308</x:v>
      </x:c>
      <x:c r="C309" s="15" t="n">
        <x:v>46054</x:v>
      </x:c>
      <x:c r="D309" s="15" t="n">
        <x:v>107025.46</x:v>
      </x:c>
      <x:c r="E309" s="15" t="str">
        <x:v>Paid</x:v>
      </x:c>
    </x:row>
    <x:row r="310">
      <x:c r="A310" s="15" t="str">
        <x:v>PAY00309</x:v>
      </x:c>
      <x:c r="B310" s="15" t="str">
        <x:v>ORD00309</x:v>
      </x:c>
      <x:c r="C310" s="15" t="n">
        <x:v>45735</x:v>
      </x:c>
      <x:c r="D310" s="15" t="n">
        <x:v>35793.2</x:v>
      </x:c>
      <x:c r="E310" s="15" t="str">
        <x:v>Paid</x:v>
      </x:c>
    </x:row>
    <x:row r="311">
      <x:c r="A311" s="15" t="str">
        <x:v>PAY00310</x:v>
      </x:c>
      <x:c r="B311" s="15" t="str">
        <x:v>ORD00310</x:v>
      </x:c>
      <x:c r="C311" s="15" t="n">
        <x:v>46081</x:v>
      </x:c>
      <x:c r="D311" s="15" t="n">
        <x:v>56642.9</x:v>
      </x:c>
      <x:c r="E311" s="15" t="str">
        <x:v>Paid</x:v>
      </x:c>
    </x:row>
    <x:row r="312">
      <x:c r="A312" s="15" t="str">
        <x:v>PAY00311</x:v>
      </x:c>
      <x:c r="B312" s="15" t="str">
        <x:v>ORD00311</x:v>
      </x:c>
      <x:c r="C312" s="15" t="n">
        <x:v>45822</x:v>
      </x:c>
      <x:c r="D312" s="15" t="n">
        <x:v>0</x:v>
      </x:c>
      <x:c r="E312" s="15" t="str">
        <x:v>Overdue</x:v>
      </x:c>
    </x:row>
    <x:row r="313">
      <x:c r="A313" s="15" t="str">
        <x:v>PAY00312</x:v>
      </x:c>
      <x:c r="B313" s="15" t="str">
        <x:v>ORD00312</x:v>
      </x:c>
      <x:c r="C313" s="15" t="n">
        <x:v>45970</x:v>
      </x:c>
      <x:c r="D313" s="15" t="n">
        <x:v>74241.29</x:v>
      </x:c>
      <x:c r="E313" s="15" t="str">
        <x:v>Paid</x:v>
      </x:c>
    </x:row>
    <x:row r="314">
      <x:c r="A314" s="15" t="str">
        <x:v>PAY00313</x:v>
      </x:c>
      <x:c r="B314" s="15" t="str">
        <x:v>ORD00313</x:v>
      </x:c>
      <x:c r="C314" s="15" t="n">
        <x:v>46191</x:v>
      </x:c>
      <x:c r="D314" s="15" t="n">
        <x:v>15362.06</x:v>
      </x:c>
      <x:c r="E314" s="15" t="str">
        <x:v>Paid</x:v>
      </x:c>
    </x:row>
    <x:row r="315">
      <x:c r="A315" s="15" t="str">
        <x:v>PAY00314</x:v>
      </x:c>
      <x:c r="B315" s="15" t="str">
        <x:v>ORD00314</x:v>
      </x:c>
      <x:c r="C315" s="15" t="n">
        <x:v>46159</x:v>
      </x:c>
      <x:c r="D315" s="15" t="n">
        <x:v>35602.23</x:v>
      </x:c>
      <x:c r="E315" s="15" t="str">
        <x:v>Paid</x:v>
      </x:c>
    </x:row>
    <x:row r="316">
      <x:c r="A316" s="15" t="str">
        <x:v>PAY00315</x:v>
      </x:c>
      <x:c r="B316" s="15" t="str">
        <x:v>ORD00315</x:v>
      </x:c>
      <x:c r="C316" s="15" t="n">
        <x:v>46051</x:v>
      </x:c>
      <x:c r="D316" s="15" t="n">
        <x:v>7639.79</x:v>
      </x:c>
      <x:c r="E316" s="15" t="str">
        <x:v>Paid</x:v>
      </x:c>
    </x:row>
    <x:row r="317">
      <x:c r="A317" s="15" t="str">
        <x:v>PAY00316</x:v>
      </x:c>
      <x:c r="B317" s="15" t="str">
        <x:v>ORD00316</x:v>
      </x:c>
      <x:c r="C317" s="15" t="n">
        <x:v>45993</x:v>
      </x:c>
      <x:c r="D317" s="15" t="n">
        <x:v>32447</x:v>
      </x:c>
      <x:c r="E317" s="15" t="str">
        <x:v>Paid</x:v>
      </x:c>
    </x:row>
    <x:row r="318">
      <x:c r="A318" s="15" t="str">
        <x:v>PAY00317</x:v>
      </x:c>
      <x:c r="B318" s="15" t="str">
        <x:v>ORD00317</x:v>
      </x:c>
      <x:c r="C318" s="15" t="n">
        <x:v>45759</x:v>
      </x:c>
      <x:c r="D318" s="15" t="n">
        <x:v>27778.16</x:v>
      </x:c>
      <x:c r="E318" s="15" t="str">
        <x:v>Not Due</x:v>
      </x:c>
    </x:row>
    <x:row r="319">
      <x:c r="A319" s="15" t="str">
        <x:v>PAY00318</x:v>
      </x:c>
      <x:c r="B319" s="15" t="str">
        <x:v>ORD00318</x:v>
      </x:c>
      <x:c r="C319" s="15" t="n">
        <x:v>46013</x:v>
      </x:c>
      <x:c r="D319" s="15" t="n">
        <x:v>75305.23</x:v>
      </x:c>
      <x:c r="E319" s="15" t="str">
        <x:v>Paid</x:v>
      </x:c>
    </x:row>
    <x:row r="320">
      <x:c r="A320" s="15" t="str">
        <x:v>PAY00319</x:v>
      </x:c>
      <x:c r="B320" s="15" t="str">
        <x:v>ORD00319</x:v>
      </x:c>
      <x:c r="C320" s="15" t="n">
        <x:v>45751</x:v>
      </x:c>
      <x:c r="D320" s="15" t="n">
        <x:v>86063.37</x:v>
      </x:c>
      <x:c r="E320" s="15" t="str">
        <x:v>Paid</x:v>
      </x:c>
    </x:row>
    <x:row r="321">
      <x:c r="A321" s="15" t="str">
        <x:v>PAY00320</x:v>
      </x:c>
      <x:c r="B321" s="15" t="str">
        <x:v>ORD00320</x:v>
      </x:c>
      <x:c r="C321" s="15" t="n">
        <x:v>46198</x:v>
      </x:c>
      <x:c r="D321" s="15" t="n">
        <x:v>64463.57</x:v>
      </x:c>
      <x:c r="E321" s="15" t="str">
        <x:v>Paid</x:v>
      </x:c>
    </x:row>
    <x:row r="322">
      <x:c r="A322" s="15" t="str">
        <x:v>PAY00321</x:v>
      </x:c>
      <x:c r="B322" s="15" t="str">
        <x:v>ORD00321</x:v>
      </x:c>
      <x:c r="C322" s="15" t="n">
        <x:v>46022</x:v>
      </x:c>
      <x:c r="D322" s="15" t="n">
        <x:v>48811.25</x:v>
      </x:c>
      <x:c r="E322" s="15" t="str">
        <x:v>Paid</x:v>
      </x:c>
    </x:row>
    <x:row r="323">
      <x:c r="A323" s="15" t="str">
        <x:v>PAY00322</x:v>
      </x:c>
      <x:c r="B323" s="15" t="str">
        <x:v>ORD00322</x:v>
      </x:c>
      <x:c r="C323" s="15" t="n">
        <x:v>45951</x:v>
      </x:c>
      <x:c r="D323" s="15" t="n">
        <x:v>19321.39</x:v>
      </x:c>
      <x:c r="E323" s="15" t="str">
        <x:v>Overdue</x:v>
      </x:c>
    </x:row>
    <x:row r="324">
      <x:c r="A324" s="15" t="str">
        <x:v>PAY00323</x:v>
      </x:c>
      <x:c r="B324" s="15" t="str">
        <x:v>ORD00323</x:v>
      </x:c>
      <x:c r="C324" s="15" t="n">
        <x:v>45819</x:v>
      </x:c>
      <x:c r="D324" s="15" t="n">
        <x:v>60211.62</x:v>
      </x:c>
      <x:c r="E324" s="15" t="str">
        <x:v>Paid</x:v>
      </x:c>
    </x:row>
    <x:row r="325">
      <x:c r="A325" s="15" t="str">
        <x:v>PAY00324</x:v>
      </x:c>
      <x:c r="B325" s="15" t="str">
        <x:v>ORD00324</x:v>
      </x:c>
      <x:c r="C325" s="15" t="n">
        <x:v>46022</x:v>
      </x:c>
      <x:c r="D325" s="15" t="n">
        <x:v>51750.29</x:v>
      </x:c>
      <x:c r="E325" s="15" t="str">
        <x:v>Overdue</x:v>
      </x:c>
    </x:row>
    <x:row r="326">
      <x:c r="A326" s="15" t="str">
        <x:v>PAY00325</x:v>
      </x:c>
      <x:c r="B326" s="15" t="str">
        <x:v>ORD00325</x:v>
      </x:c>
      <x:c r="C326" s="15" t="n">
        <x:v>45725</x:v>
      </x:c>
      <x:c r="D326" s="15" t="n">
        <x:v>0</x:v>
      </x:c>
      <x:c r="E326" s="15" t="str">
        <x:v>Not Due</x:v>
      </x:c>
    </x:row>
    <x:row r="327">
      <x:c r="A327" s="15" t="str">
        <x:v>PAY00326</x:v>
      </x:c>
      <x:c r="B327" s="15" t="str">
        <x:v>ORD00326</x:v>
      </x:c>
      <x:c r="C327" s="15" t="n">
        <x:v>46212</x:v>
      </x:c>
      <x:c r="D327" s="15" t="n">
        <x:v>77083.27</x:v>
      </x:c>
      <x:c r="E327" s="15" t="str">
        <x:v>Paid</x:v>
      </x:c>
    </x:row>
    <x:row r="328">
      <x:c r="A328" s="15" t="str">
        <x:v>PAY00327</x:v>
      </x:c>
      <x:c r="B328" s="15" t="str">
        <x:v>ORD00327</x:v>
      </x:c>
      <x:c r="C328" s="15" t="n">
        <x:v>46063</x:v>
      </x:c>
      <x:c r="D328" s="15" t="n">
        <x:v>18765.92</x:v>
      </x:c>
      <x:c r="E328" s="15" t="str">
        <x:v>Not Due</x:v>
      </x:c>
    </x:row>
    <x:row r="329">
      <x:c r="A329" s="15" t="str">
        <x:v>PAY00328</x:v>
      </x:c>
      <x:c r="B329" s="15" t="str">
        <x:v>ORD00328</x:v>
      </x:c>
      <x:c r="C329" s="15" t="n">
        <x:v>45858</x:v>
      </x:c>
      <x:c r="D329" s="15" t="n">
        <x:v>52699.93</x:v>
      </x:c>
      <x:c r="E329" s="15" t="str">
        <x:v>Not Due</x:v>
      </x:c>
    </x:row>
    <x:row r="330">
      <x:c r="A330" s="15" t="str">
        <x:v>PAY00329</x:v>
      </x:c>
      <x:c r="B330" s="15" t="str">
        <x:v>ORD00329</x:v>
      </x:c>
      <x:c r="C330" s="15" t="n">
        <x:v>45712</x:v>
      </x:c>
      <x:c r="D330" s="15" t="n">
        <x:v>7614.02</x:v>
      </x:c>
      <x:c r="E330" s="15" t="str">
        <x:v>Paid</x:v>
      </x:c>
    </x:row>
    <x:row r="331">
      <x:c r="A331" s="15" t="str">
        <x:v>PAY00330</x:v>
      </x:c>
      <x:c r="B331" s="15" t="str">
        <x:v>ORD00330</x:v>
      </x:c>
      <x:c r="C331" s="15" t="n">
        <x:v>45726</x:v>
      </x:c>
      <x:c r="D331" s="15" t="n">
        <x:v>35284.64</x:v>
      </x:c>
      <x:c r="E331" s="15" t="str">
        <x:v>Paid</x:v>
      </x:c>
    </x:row>
    <x:row r="332">
      <x:c r="A332" s="15" t="str">
        <x:v>PAY00331</x:v>
      </x:c>
      <x:c r="B332" s="15" t="str">
        <x:v>ORD00331</x:v>
      </x:c>
      <x:c r="C332" s="15" t="n">
        <x:v>45677</x:v>
      </x:c>
      <x:c r="D332" s="15" t="n">
        <x:v>6752.84</x:v>
      </x:c>
      <x:c r="E332" s="15" t="str">
        <x:v>Paid</x:v>
      </x:c>
    </x:row>
    <x:row r="333">
      <x:c r="A333" s="15" t="str">
        <x:v>PAY00332</x:v>
      </x:c>
      <x:c r="B333" s="15" t="str">
        <x:v>ORD00332</x:v>
      </x:c>
      <x:c r="C333" s="15" t="n">
        <x:v>45883</x:v>
      </x:c>
      <x:c r="D333" s="15" t="n">
        <x:v>0</x:v>
      </x:c>
      <x:c r="E333" s="15" t="str">
        <x:v>Not Due</x:v>
      </x:c>
    </x:row>
    <x:row r="334">
      <x:c r="A334" s="15" t="str">
        <x:v>PAY00333</x:v>
      </x:c>
      <x:c r="B334" s="15" t="str">
        <x:v>ORD00333</x:v>
      </x:c>
      <x:c r="C334" s="15" t="n">
        <x:v>45735</x:v>
      </x:c>
      <x:c r="D334" s="15" t="n">
        <x:v>68013.98</x:v>
      </x:c>
      <x:c r="E334" s="15" t="str">
        <x:v>Paid</x:v>
      </x:c>
    </x:row>
    <x:row r="335">
      <x:c r="A335" s="15" t="str">
        <x:v>PAY00334</x:v>
      </x:c>
      <x:c r="B335" s="15" t="str">
        <x:v>ORD00334</x:v>
      </x:c>
      <x:c r="C335" s="15" t="n">
        <x:v>46069</x:v>
      </x:c>
      <x:c r="D335" s="15" t="n">
        <x:v>60904.64</x:v>
      </x:c>
      <x:c r="E335" s="15" t="str">
        <x:v>Paid</x:v>
      </x:c>
    </x:row>
    <x:row r="336">
      <x:c r="A336" s="15" t="str">
        <x:v>PAY00335</x:v>
      </x:c>
      <x:c r="B336" s="15" t="str">
        <x:v>ORD00335</x:v>
      </x:c>
      <x:c r="C336" s="15" t="n">
        <x:v>45799</x:v>
      </x:c>
      <x:c r="D336" s="15" t="n">
        <x:v>68794.14</x:v>
      </x:c>
      <x:c r="E336" s="15" t="str">
        <x:v>Paid</x:v>
      </x:c>
    </x:row>
    <x:row r="337">
      <x:c r="A337" s="15" t="str">
        <x:v>PAY00336</x:v>
      </x:c>
      <x:c r="B337" s="15" t="str">
        <x:v>ORD00336</x:v>
      </x:c>
      <x:c r="C337" s="15" t="n">
        <x:v>45885</x:v>
      </x:c>
      <x:c r="D337" s="15" t="n">
        <x:v>19868.93</x:v>
      </x:c>
      <x:c r="E337" s="15" t="str">
        <x:v>Not Due</x:v>
      </x:c>
    </x:row>
    <x:row r="338">
      <x:c r="A338" s="15" t="str">
        <x:v>PAY00337</x:v>
      </x:c>
      <x:c r="B338" s="15" t="str">
        <x:v>ORD00337</x:v>
      </x:c>
      <x:c r="C338" s="15" t="n">
        <x:v>46029</x:v>
      </x:c>
      <x:c r="D338" s="15" t="n">
        <x:v>95990.94</x:v>
      </x:c>
      <x:c r="E338" s="15" t="str">
        <x:v>Paid</x:v>
      </x:c>
    </x:row>
    <x:row r="339">
      <x:c r="A339" s="15" t="str">
        <x:v>PAY00338</x:v>
      </x:c>
      <x:c r="B339" s="15" t="str">
        <x:v>ORD00338</x:v>
      </x:c>
      <x:c r="C339" s="15" t="n">
        <x:v>46185</x:v>
      </x:c>
      <x:c r="D339" s="15" t="n">
        <x:v>35497.48</x:v>
      </x:c>
      <x:c r="E339" s="15" t="str">
        <x:v>Not Due</x:v>
      </x:c>
    </x:row>
    <x:row r="340">
      <x:c r="A340" s="15" t="str">
        <x:v>PAY00339</x:v>
      </x:c>
      <x:c r="B340" s="15" t="str">
        <x:v>ORD00339</x:v>
      </x:c>
      <x:c r="C340" s="15" t="n">
        <x:v>46052</x:v>
      </x:c>
      <x:c r="D340" s="15" t="n">
        <x:v>77756.93</x:v>
      </x:c>
      <x:c r="E340" s="15" t="str">
        <x:v>Paid</x:v>
      </x:c>
    </x:row>
    <x:row r="341">
      <x:c r="A341" s="15" t="str">
        <x:v>PAY00340</x:v>
      </x:c>
      <x:c r="B341" s="15" t="str">
        <x:v>ORD00340</x:v>
      </x:c>
      <x:c r="C341" s="15" t="n">
        <x:v>45807</x:v>
      </x:c>
      <x:c r="D341" s="15" t="n">
        <x:v>88658.46</x:v>
      </x:c>
      <x:c r="E341" s="15" t="str">
        <x:v>Paid</x:v>
      </x:c>
    </x:row>
    <x:row r="342">
      <x:c r="A342" s="15" t="str">
        <x:v>PAY00341</x:v>
      </x:c>
      <x:c r="B342" s="15" t="str">
        <x:v>ORD00341</x:v>
      </x:c>
      <x:c r="C342" s="15" t="n">
        <x:v>45878</x:v>
      </x:c>
      <x:c r="D342" s="15" t="n">
        <x:v>7042.34</x:v>
      </x:c>
      <x:c r="E342" s="15" t="str">
        <x:v>Paid</x:v>
      </x:c>
    </x:row>
    <x:row r="343">
      <x:c r="A343" s="15" t="str">
        <x:v>PAY00342</x:v>
      </x:c>
      <x:c r="B343" s="15" t="str">
        <x:v>ORD00342</x:v>
      </x:c>
      <x:c r="C343" s="15" t="n">
        <x:v>46226</x:v>
      </x:c>
      <x:c r="D343" s="15" t="n">
        <x:v>58598.69</x:v>
      </x:c>
      <x:c r="E343" s="15" t="str">
        <x:v>Paid</x:v>
      </x:c>
    </x:row>
    <x:row r="344">
      <x:c r="A344" s="15" t="str">
        <x:v>PAY00343</x:v>
      </x:c>
      <x:c r="B344" s="15" t="str">
        <x:v>ORD00343</x:v>
      </x:c>
      <x:c r="C344" s="15" t="n">
        <x:v>46001</x:v>
      </x:c>
      <x:c r="D344" s="15" t="n">
        <x:v>69365.04</x:v>
      </x:c>
      <x:c r="E344" s="15" t="str">
        <x:v>Paid</x:v>
      </x:c>
    </x:row>
    <x:row r="345">
      <x:c r="A345" s="15" t="str">
        <x:v>PAY00344</x:v>
      </x:c>
      <x:c r="B345" s="15" t="str">
        <x:v>ORD00344</x:v>
      </x:c>
      <x:c r="C345" s="15" t="n">
        <x:v>46147</x:v>
      </x:c>
      <x:c r="D345" s="15" t="n">
        <x:v>48817.9</x:v>
      </x:c>
      <x:c r="E345" s="15" t="str">
        <x:v>Paid</x:v>
      </x:c>
    </x:row>
    <x:row r="346">
      <x:c r="A346" s="15" t="str">
        <x:v>PAY00345</x:v>
      </x:c>
      <x:c r="B346" s="15" t="str">
        <x:v>ORD00345</x:v>
      </x:c>
      <x:c r="C346" s="15" t="n">
        <x:v>45931</x:v>
      </x:c>
      <x:c r="D346" s="15" t="n">
        <x:v>62975.28</x:v>
      </x:c>
      <x:c r="E346" s="15" t="str">
        <x:v>Paid</x:v>
      </x:c>
    </x:row>
    <x:row r="347">
      <x:c r="A347" s="15" t="str">
        <x:v>PAY00346</x:v>
      </x:c>
      <x:c r="B347" s="15" t="str">
        <x:v>ORD00346</x:v>
      </x:c>
      <x:c r="C347" s="15" t="n">
        <x:v>46068</x:v>
      </x:c>
      <x:c r="D347" s="15" t="n">
        <x:v>96704.8</x:v>
      </x:c>
      <x:c r="E347" s="15" t="str">
        <x:v>Paid</x:v>
      </x:c>
    </x:row>
    <x:row r="348">
      <x:c r="A348" s="15" t="str">
        <x:v>PAY00347</x:v>
      </x:c>
      <x:c r="B348" s="15" t="str">
        <x:v>ORD00347</x:v>
      </x:c>
      <x:c r="C348" s="15" t="n">
        <x:v>45920</x:v>
      </x:c>
      <x:c r="D348" s="15" t="n">
        <x:v>152692.91</x:v>
      </x:c>
      <x:c r="E348" s="15" t="str">
        <x:v>Paid</x:v>
      </x:c>
    </x:row>
    <x:row r="349">
      <x:c r="A349" s="15" t="str">
        <x:v>PAY00348</x:v>
      </x:c>
      <x:c r="B349" s="15" t="str">
        <x:v>ORD00348</x:v>
      </x:c>
      <x:c r="C349" s="15" t="n">
        <x:v>46090</x:v>
      </x:c>
      <x:c r="D349" s="15" t="n">
        <x:v>48878.28</x:v>
      </x:c>
      <x:c r="E349" s="15" t="str">
        <x:v>Paid</x:v>
      </x:c>
    </x:row>
    <x:row r="350">
      <x:c r="A350" s="15" t="str">
        <x:v>PAY00349</x:v>
      </x:c>
      <x:c r="B350" s="15" t="str">
        <x:v>ORD00349</x:v>
      </x:c>
      <x:c r="C350" s="15" t="n">
        <x:v>45945</x:v>
      </x:c>
      <x:c r="D350" s="15" t="n">
        <x:v>68406.72</x:v>
      </x:c>
      <x:c r="E350" s="15" t="str">
        <x:v>Paid</x:v>
      </x:c>
    </x:row>
    <x:row r="351">
      <x:c r="A351" s="15" t="str">
        <x:v>PAY00350</x:v>
      </x:c>
      <x:c r="B351" s="15" t="str">
        <x:v>ORD00350</x:v>
      </x:c>
      <x:c r="C351" s="15" t="n">
        <x:v>45848</x:v>
      </x:c>
      <x:c r="D351" s="15" t="n">
        <x:v>21902.63</x:v>
      </x:c>
      <x:c r="E351" s="15" t="str">
        <x:v>Paid</x:v>
      </x:c>
    </x:row>
    <x:row r="352">
      <x:c r="A352" s="15" t="str">
        <x:v>PAY00351</x:v>
      </x:c>
      <x:c r="B352" s="15" t="str">
        <x:v>ORD00351</x:v>
      </x:c>
      <x:c r="C352" s="15" t="n">
        <x:v>46060</x:v>
      </x:c>
      <x:c r="D352" s="15" t="n">
        <x:v>59970.7</x:v>
      </x:c>
      <x:c r="E352" s="15" t="str">
        <x:v>Paid</x:v>
      </x:c>
    </x:row>
    <x:row r="353">
      <x:c r="A353" s="15" t="str">
        <x:v>PAY00352</x:v>
      </x:c>
      <x:c r="B353" s="15" t="str">
        <x:v>ORD00352</x:v>
      </x:c>
      <x:c r="C353" s="15" t="n">
        <x:v>46120</x:v>
      </x:c>
      <x:c r="D353" s="15" t="n">
        <x:v>0</x:v>
      </x:c>
      <x:c r="E353" s="15" t="str">
        <x:v>Overdue</x:v>
      </x:c>
    </x:row>
    <x:row r="354">
      <x:c r="A354" s="15" t="str">
        <x:v>PAY00353</x:v>
      </x:c>
      <x:c r="B354" s="15" t="str">
        <x:v>ORD00353</x:v>
      </x:c>
      <x:c r="C354" s="15" t="n">
        <x:v>45904</x:v>
      </x:c>
      <x:c r="D354" s="15" t="n">
        <x:v>48274.7</x:v>
      </x:c>
      <x:c r="E354" s="15" t="str">
        <x:v>Overdue</x:v>
      </x:c>
    </x:row>
    <x:row r="355">
      <x:c r="A355" s="15" t="str">
        <x:v>PAY00354</x:v>
      </x:c>
      <x:c r="B355" s="15" t="str">
        <x:v>ORD00354</x:v>
      </x:c>
      <x:c r="C355" s="15" t="n">
        <x:v>46007</x:v>
      </x:c>
      <x:c r="D355" s="15" t="n">
        <x:v>75251.03</x:v>
      </x:c>
      <x:c r="E355" s="15" t="str">
        <x:v>Not Due</x:v>
      </x:c>
    </x:row>
    <x:row r="356">
      <x:c r="A356" s="15" t="str">
        <x:v>PAY00355</x:v>
      </x:c>
      <x:c r="B356" s="15" t="str">
        <x:v>ORD00355</x:v>
      </x:c>
      <x:c r="C356" s="15" t="n">
        <x:v>46097</x:v>
      </x:c>
      <x:c r="D356" s="15" t="n">
        <x:v>29251.55</x:v>
      </x:c>
      <x:c r="E356" s="15" t="str">
        <x:v>Overdue</x:v>
      </x:c>
    </x:row>
    <x:row r="357">
      <x:c r="A357" s="15" t="str">
        <x:v>PAY00356</x:v>
      </x:c>
      <x:c r="B357" s="15" t="str">
        <x:v>ORD00356</x:v>
      </x:c>
      <x:c r="C357" s="15" t="n">
        <x:v>45844</x:v>
      </x:c>
      <x:c r="D357" s="15" t="n">
        <x:v>15542.1</x:v>
      </x:c>
      <x:c r="E357" s="15" t="str">
        <x:v>Paid</x:v>
      </x:c>
    </x:row>
    <x:row r="358">
      <x:c r="A358" s="15" t="str">
        <x:v>PAY00357</x:v>
      </x:c>
      <x:c r="B358" s="15" t="str">
        <x:v>ORD00357</x:v>
      </x:c>
      <x:c r="C358" s="15" t="n">
        <x:v>46160</x:v>
      </x:c>
      <x:c r="D358" s="15" t="n">
        <x:v>43353.15</x:v>
      </x:c>
      <x:c r="E358" s="15" t="str">
        <x:v>Paid</x:v>
      </x:c>
    </x:row>
    <x:row r="359">
      <x:c r="A359" s="15" t="str">
        <x:v>PAY00358</x:v>
      </x:c>
      <x:c r="B359" s="15" t="str">
        <x:v>ORD00358</x:v>
      </x:c>
      <x:c r="C359" s="15" t="n">
        <x:v>45679</x:v>
      </x:c>
      <x:c r="D359" s="15" t="n">
        <x:v>75454.09</x:v>
      </x:c>
      <x:c r="E359" s="15" t="str">
        <x:v>Paid</x:v>
      </x:c>
    </x:row>
    <x:row r="360">
      <x:c r="A360" s="15" t="str">
        <x:v>PAY00359</x:v>
      </x:c>
      <x:c r="B360" s="15" t="str">
        <x:v>ORD00359</x:v>
      </x:c>
      <x:c r="C360" s="15" t="n">
        <x:v>46106</x:v>
      </x:c>
      <x:c r="D360" s="15" t="n">
        <x:v>0</x:v>
      </x:c>
      <x:c r="E360" s="15" t="str">
        <x:v>Overdue</x:v>
      </x:c>
    </x:row>
    <x:row r="361">
      <x:c r="A361" s="15" t="str">
        <x:v>PAY00360</x:v>
      </x:c>
      <x:c r="B361" s="15" t="str">
        <x:v>ORD00360</x:v>
      </x:c>
      <x:c r="C361" s="15" t="n">
        <x:v>45807</x:v>
      </x:c>
      <x:c r="D361" s="15" t="n">
        <x:v>140267.34</x:v>
      </x:c>
      <x:c r="E361" s="15" t="str">
        <x:v>Paid</x:v>
      </x:c>
    </x:row>
    <x:row r="362">
      <x:c r="A362" s="15" t="str">
        <x:v>PAY00361</x:v>
      </x:c>
      <x:c r="B362" s="15" t="str">
        <x:v>ORD00361</x:v>
      </x:c>
      <x:c r="C362" s="15" t="n">
        <x:v>46049</x:v>
      </x:c>
      <x:c r="D362" s="15" t="n">
        <x:v>90522.07</x:v>
      </x:c>
      <x:c r="E362" s="15" t="str">
        <x:v>Paid</x:v>
      </x:c>
    </x:row>
    <x:row r="363">
      <x:c r="A363" s="15" t="str">
        <x:v>PAY00362</x:v>
      </x:c>
      <x:c r="B363" s="15" t="str">
        <x:v>ORD00362</x:v>
      </x:c>
      <x:c r="C363" s="15" t="n">
        <x:v>45963</x:v>
      </x:c>
      <x:c r="D363" s="15" t="n">
        <x:v>14466.64</x:v>
      </x:c>
      <x:c r="E363" s="15" t="str">
        <x:v>Paid</x:v>
      </x:c>
    </x:row>
    <x:row r="364">
      <x:c r="A364" s="15" t="str">
        <x:v>PAY00363</x:v>
      </x:c>
      <x:c r="B364" s="15" t="str">
        <x:v>ORD00363</x:v>
      </x:c>
      <x:c r="C364" s="15" t="n">
        <x:v>45737</x:v>
      </x:c>
      <x:c r="D364" s="15" t="n">
        <x:v>76274.25</x:v>
      </x:c>
      <x:c r="E364" s="15" t="str">
        <x:v>Paid</x:v>
      </x:c>
    </x:row>
    <x:row r="365">
      <x:c r="A365" s="15" t="str">
        <x:v>PAY00364</x:v>
      </x:c>
      <x:c r="B365" s="15" t="str">
        <x:v>ORD00364</x:v>
      </x:c>
      <x:c r="C365" s="15" t="n">
        <x:v>46061</x:v>
      </x:c>
      <x:c r="D365" s="15" t="n">
        <x:v>65860.76</x:v>
      </x:c>
      <x:c r="E365" s="15" t="str">
        <x:v>Paid</x:v>
      </x:c>
    </x:row>
    <x:row r="366">
      <x:c r="A366" s="15" t="str">
        <x:v>PAY00365</x:v>
      </x:c>
      <x:c r="B366" s="15" t="str">
        <x:v>ORD00365</x:v>
      </x:c>
      <x:c r="C366" s="15" t="n">
        <x:v>45983</x:v>
      </x:c>
      <x:c r="D366" s="15" t="n">
        <x:v>108637.21</x:v>
      </x:c>
      <x:c r="E366" s="15" t="str">
        <x:v>Paid</x:v>
      </x:c>
    </x:row>
    <x:row r="367">
      <x:c r="A367" s="15" t="str">
        <x:v>PAY00366</x:v>
      </x:c>
      <x:c r="B367" s="15" t="str">
        <x:v>ORD00366</x:v>
      </x:c>
      <x:c r="C367" s="15" t="n">
        <x:v>45849</x:v>
      </x:c>
      <x:c r="D367" s="15" t="n">
        <x:v>0</x:v>
      </x:c>
      <x:c r="E367" s="15" t="str">
        <x:v>Not Due</x:v>
      </x:c>
    </x:row>
    <x:row r="368">
      <x:c r="A368" s="15" t="str">
        <x:v>PAY00367</x:v>
      </x:c>
      <x:c r="B368" s="15" t="str">
        <x:v>ORD00367</x:v>
      </x:c>
      <x:c r="C368" s="15" t="n">
        <x:v>45978</x:v>
      </x:c>
      <x:c r="D368" s="15" t="n">
        <x:v>67446.16</x:v>
      </x:c>
      <x:c r="E368" s="15" t="str">
        <x:v>Paid</x:v>
      </x:c>
    </x:row>
    <x:row r="369">
      <x:c r="A369" s="15" t="str">
        <x:v>PAY00368</x:v>
      </x:c>
      <x:c r="B369" s="15" t="str">
        <x:v>ORD00368</x:v>
      </x:c>
      <x:c r="C369" s="15" t="n">
        <x:v>45854</x:v>
      </x:c>
      <x:c r="D369" s="15" t="n">
        <x:v>32820.2</x:v>
      </x:c>
      <x:c r="E369" s="15" t="str">
        <x:v>Paid</x:v>
      </x:c>
    </x:row>
    <x:row r="370">
      <x:c r="A370" s="15" t="str">
        <x:v>PAY00369</x:v>
      </x:c>
      <x:c r="B370" s="15" t="str">
        <x:v>ORD00369</x:v>
      </x:c>
      <x:c r="C370" s="15" t="n">
        <x:v>45838</x:v>
      </x:c>
      <x:c r="D370" s="15" t="n">
        <x:v>83238.48</x:v>
      </x:c>
      <x:c r="E370" s="15" t="str">
        <x:v>Paid</x:v>
      </x:c>
    </x:row>
    <x:row r="371">
      <x:c r="A371" s="15" t="str">
        <x:v>PAY00370</x:v>
      </x:c>
      <x:c r="B371" s="15" t="str">
        <x:v>ORD00370</x:v>
      </x:c>
      <x:c r="C371" s="15" t="n">
        <x:v>45880</x:v>
      </x:c>
      <x:c r="D371" s="15" t="n">
        <x:v>86956.18</x:v>
      </x:c>
      <x:c r="E371" s="15" t="str">
        <x:v>Paid</x:v>
      </x:c>
    </x:row>
    <x:row r="372">
      <x:c r="A372" s="15" t="str">
        <x:v>PAY00371</x:v>
      </x:c>
      <x:c r="B372" s="15" t="str">
        <x:v>ORD00371</x:v>
      </x:c>
      <x:c r="C372" s="15" t="n">
        <x:v>46196</x:v>
      </x:c>
      <x:c r="D372" s="15" t="n">
        <x:v>29624.5</x:v>
      </x:c>
      <x:c r="E372" s="15" t="str">
        <x:v>Paid</x:v>
      </x:c>
    </x:row>
    <x:row r="373">
      <x:c r="A373" s="15" t="str">
        <x:v>PAY00372</x:v>
      </x:c>
      <x:c r="B373" s="15" t="str">
        <x:v>ORD00372</x:v>
      </x:c>
      <x:c r="C373" s="15" t="n">
        <x:v>45817</x:v>
      </x:c>
      <x:c r="D373" s="15" t="n">
        <x:v>0</x:v>
      </x:c>
      <x:c r="E373" s="15" t="str">
        <x:v>Overdue</x:v>
      </x:c>
    </x:row>
    <x:row r="374">
      <x:c r="A374" s="15" t="str">
        <x:v>PAY00373</x:v>
      </x:c>
      <x:c r="B374" s="15" t="str">
        <x:v>ORD00373</x:v>
      </x:c>
      <x:c r="C374" s="15" t="n">
        <x:v>45955</x:v>
      </x:c>
      <x:c r="D374" s="15" t="n">
        <x:v>9517</x:v>
      </x:c>
      <x:c r="E374" s="15" t="str">
        <x:v>Not Due</x:v>
      </x:c>
    </x:row>
    <x:row r="375">
      <x:c r="A375" s="15" t="str">
        <x:v>PAY00374</x:v>
      </x:c>
      <x:c r="B375" s="15" t="str">
        <x:v>ORD00374</x:v>
      </x:c>
      <x:c r="C375" s="15" t="n">
        <x:v>45848</x:v>
      </x:c>
      <x:c r="D375" s="15" t="n">
        <x:v>39539.12</x:v>
      </x:c>
      <x:c r="E375" s="15" t="str">
        <x:v>Overdue</x:v>
      </x:c>
    </x:row>
    <x:row r="376">
      <x:c r="A376" s="15" t="str">
        <x:v>PAY00375</x:v>
      </x:c>
      <x:c r="B376" s="15" t="str">
        <x:v>ORD00375</x:v>
      </x:c>
      <x:c r="C376" s="15" t="n">
        <x:v>45907</x:v>
      </x:c>
      <x:c r="D376" s="15" t="n">
        <x:v>130693.12</x:v>
      </x:c>
      <x:c r="E376" s="15" t="str">
        <x:v>Paid</x:v>
      </x:c>
    </x:row>
    <x:row r="377">
      <x:c r="A377" s="15" t="str">
        <x:v>PAY00376</x:v>
      </x:c>
      <x:c r="B377" s="15" t="str">
        <x:v>ORD00376</x:v>
      </x:c>
      <x:c r="C377" s="15" t="n">
        <x:v>46074</x:v>
      </x:c>
      <x:c r="D377" s="15" t="n">
        <x:v>47743.97</x:v>
      </x:c>
      <x:c r="E377" s="15" t="str">
        <x:v>Paid</x:v>
      </x:c>
    </x:row>
    <x:row r="378">
      <x:c r="A378" s="15" t="str">
        <x:v>PAY00377</x:v>
      </x:c>
      <x:c r="B378" s="15" t="str">
        <x:v>ORD00377</x:v>
      </x:c>
      <x:c r="C378" s="15" t="n">
        <x:v>45821</x:v>
      </x:c>
      <x:c r="D378" s="15" t="n">
        <x:v>63940.86</x:v>
      </x:c>
      <x:c r="E378" s="15" t="str">
        <x:v>Paid</x:v>
      </x:c>
    </x:row>
    <x:row r="379">
      <x:c r="A379" s="15" t="str">
        <x:v>PAY00378</x:v>
      </x:c>
      <x:c r="B379" s="15" t="str">
        <x:v>ORD00378</x:v>
      </x:c>
      <x:c r="C379" s="15" t="n">
        <x:v>45831</x:v>
      </x:c>
      <x:c r="D379" s="15" t="n">
        <x:v>16374.67</x:v>
      </x:c>
      <x:c r="E379" s="15" t="str">
        <x:v>Not Due</x:v>
      </x:c>
    </x:row>
    <x:row r="380">
      <x:c r="A380" s="15" t="str">
        <x:v>PAY00379</x:v>
      </x:c>
      <x:c r="B380" s="15" t="str">
        <x:v>ORD00379</x:v>
      </x:c>
      <x:c r="C380" s="15" t="n">
        <x:v>45950</x:v>
      </x:c>
      <x:c r="D380" s="15" t="n">
        <x:v>57659.69</x:v>
      </x:c>
      <x:c r="E380" s="15" t="str">
        <x:v>Paid</x:v>
      </x:c>
    </x:row>
    <x:row r="381">
      <x:c r="A381" s="15" t="str">
        <x:v>PAY00380</x:v>
      </x:c>
      <x:c r="B381" s="15" t="str">
        <x:v>ORD00380</x:v>
      </x:c>
      <x:c r="C381" s="15" t="n">
        <x:v>46152</x:v>
      </x:c>
      <x:c r="D381" s="15" t="n">
        <x:v>26667.36</x:v>
      </x:c>
      <x:c r="E381" s="15" t="str">
        <x:v>Paid</x:v>
      </x:c>
    </x:row>
    <x:row r="382">
      <x:c r="A382" s="15" t="str">
        <x:v>PAY00381</x:v>
      </x:c>
      <x:c r="B382" s="15" t="str">
        <x:v>ORD00381</x:v>
      </x:c>
      <x:c r="C382" s="15" t="n">
        <x:v>45798</x:v>
      </x:c>
      <x:c r="D382" s="15" t="n">
        <x:v>34898.55</x:v>
      </x:c>
      <x:c r="E382" s="15" t="str">
        <x:v>Paid</x:v>
      </x:c>
    </x:row>
    <x:row r="383">
      <x:c r="A383" s="15" t="str">
        <x:v>PAY00382</x:v>
      </x:c>
      <x:c r="B383" s="15" t="str">
        <x:v>ORD00382</x:v>
      </x:c>
      <x:c r="C383" s="15" t="n">
        <x:v>46176</x:v>
      </x:c>
      <x:c r="D383" s="15" t="n">
        <x:v>69875.93</x:v>
      </x:c>
      <x:c r="E383" s="15" t="str">
        <x:v>Paid</x:v>
      </x:c>
    </x:row>
    <x:row r="384">
      <x:c r="A384" s="15" t="str">
        <x:v>PAY00383</x:v>
      </x:c>
      <x:c r="B384" s="15" t="str">
        <x:v>ORD00383</x:v>
      </x:c>
      <x:c r="C384" s="15" t="n">
        <x:v>45908</x:v>
      </x:c>
      <x:c r="D384" s="15" t="n">
        <x:v>0</x:v>
      </x:c>
      <x:c r="E384" s="15" t="str">
        <x:v>Not Due</x:v>
      </x:c>
    </x:row>
    <x:row r="385">
      <x:c r="A385" s="15" t="str">
        <x:v>PAY00384</x:v>
      </x:c>
      <x:c r="B385" s="15" t="str">
        <x:v>ORD00384</x:v>
      </x:c>
      <x:c r="C385" s="15" t="n">
        <x:v>46077</x:v>
      </x:c>
      <x:c r="D385" s="15" t="n">
        <x:v>45443.39</x:v>
      </x:c>
      <x:c r="E385" s="15" t="str">
        <x:v>Overdue</x:v>
      </x:c>
    </x:row>
    <x:row r="386">
      <x:c r="A386" s="15" t="str">
        <x:v>PAY00385</x:v>
      </x:c>
      <x:c r="B386" s="15" t="str">
        <x:v>ORD00385</x:v>
      </x:c>
      <x:c r="C386" s="15" t="n">
        <x:v>45742</x:v>
      </x:c>
      <x:c r="D386" s="15" t="n">
        <x:v>8522.52</x:v>
      </x:c>
      <x:c r="E386" s="15" t="str">
        <x:v>Paid</x:v>
      </x:c>
    </x:row>
    <x:row r="387">
      <x:c r="A387" s="15" t="str">
        <x:v>PAY00386</x:v>
      </x:c>
      <x:c r="B387" s="15" t="str">
        <x:v>ORD00386</x:v>
      </x:c>
      <x:c r="C387" s="15" t="n">
        <x:v>46041</x:v>
      </x:c>
      <x:c r="D387" s="15" t="n">
        <x:v>41412.29</x:v>
      </x:c>
      <x:c r="E387" s="15" t="str">
        <x:v>Paid</x:v>
      </x:c>
    </x:row>
    <x:row r="388">
      <x:c r="A388" s="15" t="str">
        <x:v>PAY00387</x:v>
      </x:c>
      <x:c r="B388" s="15" t="str">
        <x:v>ORD00387</x:v>
      </x:c>
      <x:c r="C388" s="15" t="n">
        <x:v>45715</x:v>
      </x:c>
      <x:c r="D388" s="15" t="n">
        <x:v>14788.37</x:v>
      </x:c>
      <x:c r="E388" s="15" t="str">
        <x:v>Not Due</x:v>
      </x:c>
    </x:row>
    <x:row r="389">
      <x:c r="A389" s="15" t="str">
        <x:v>PAY00388</x:v>
      </x:c>
      <x:c r="B389" s="15" t="str">
        <x:v>ORD00388</x:v>
      </x:c>
      <x:c r="C389" s="15" t="n">
        <x:v>45755</x:v>
      </x:c>
      <x:c r="D389" s="15" t="n">
        <x:v>21660.09</x:v>
      </x:c>
      <x:c r="E389" s="15" t="str">
        <x:v>Not Due</x:v>
      </x:c>
    </x:row>
    <x:row r="390">
      <x:c r="A390" s="15" t="str">
        <x:v>PAY00389</x:v>
      </x:c>
      <x:c r="B390" s="15" t="str">
        <x:v>ORD00389</x:v>
      </x:c>
      <x:c r="C390" s="15" t="n">
        <x:v>46058</x:v>
      </x:c>
      <x:c r="D390" s="15" t="n">
        <x:v>56902.22</x:v>
      </x:c>
      <x:c r="E390" s="15" t="str">
        <x:v>Not Due</x:v>
      </x:c>
    </x:row>
    <x:row r="391">
      <x:c r="A391" s="15" t="str">
        <x:v>PAY00390</x:v>
      </x:c>
      <x:c r="B391" s="15" t="str">
        <x:v>ORD00390</x:v>
      </x:c>
      <x:c r="C391" s="15" t="n">
        <x:v>45746</x:v>
      </x:c>
      <x:c r="D391" s="15" t="n">
        <x:v>11932.07</x:v>
      </x:c>
      <x:c r="E391" s="15" t="str">
        <x:v>Paid</x:v>
      </x:c>
    </x:row>
    <x:row r="392">
      <x:c r="A392" s="15" t="str">
        <x:v>PAY00391</x:v>
      </x:c>
      <x:c r="B392" s="15" t="str">
        <x:v>ORD00391</x:v>
      </x:c>
      <x:c r="C392" s="15" t="n">
        <x:v>46148</x:v>
      </x:c>
      <x:c r="D392" s="15" t="n">
        <x:v>20402.12</x:v>
      </x:c>
      <x:c r="E392" s="15" t="str">
        <x:v>Paid</x:v>
      </x:c>
    </x:row>
    <x:row r="393">
      <x:c r="A393" s="15" t="str">
        <x:v>PAY00392</x:v>
      </x:c>
      <x:c r="B393" s="15" t="str">
        <x:v>ORD00392</x:v>
      </x:c>
      <x:c r="C393" s="15" t="n">
        <x:v>45763</x:v>
      </x:c>
      <x:c r="D393" s="15" t="n">
        <x:v>134893.14</x:v>
      </x:c>
      <x:c r="E393" s="15" t="str">
        <x:v>Paid</x:v>
      </x:c>
    </x:row>
    <x:row r="394">
      <x:c r="A394" s="15" t="str">
        <x:v>PAY00393</x:v>
      </x:c>
      <x:c r="B394" s="15" t="str">
        <x:v>ORD00393</x:v>
      </x:c>
      <x:c r="C394" s="15" t="n">
        <x:v>45758</x:v>
      </x:c>
      <x:c r="D394" s="15" t="n">
        <x:v>52226.81</x:v>
      </x:c>
      <x:c r="E394" s="15" t="str">
        <x:v>Paid</x:v>
      </x:c>
    </x:row>
    <x:row r="395">
      <x:c r="A395" s="15" t="str">
        <x:v>PAY00394</x:v>
      </x:c>
      <x:c r="B395" s="15" t="str">
        <x:v>ORD00394</x:v>
      </x:c>
      <x:c r="C395" s="15" t="n">
        <x:v>45826</x:v>
      </x:c>
      <x:c r="D395" s="15" t="n">
        <x:v>57002.58</x:v>
      </x:c>
      <x:c r="E395" s="15" t="str">
        <x:v>Paid</x:v>
      </x:c>
    </x:row>
    <x:row r="396">
      <x:c r="A396" s="15" t="str">
        <x:v>PAY00395</x:v>
      </x:c>
      <x:c r="B396" s="15" t="str">
        <x:v>ORD00395</x:v>
      </x:c>
      <x:c r="C396" s="15" t="n">
        <x:v>46096</x:v>
      </x:c>
      <x:c r="D396" s="15" t="n">
        <x:v>39933.21</x:v>
      </x:c>
      <x:c r="E396" s="15" t="str">
        <x:v>Paid</x:v>
      </x:c>
    </x:row>
    <x:row r="397">
      <x:c r="A397" s="15" t="str">
        <x:v>PAY00396</x:v>
      </x:c>
      <x:c r="B397" s="15" t="str">
        <x:v>ORD00396</x:v>
      </x:c>
      <x:c r="C397" s="15" t="n">
        <x:v>45798</x:v>
      </x:c>
      <x:c r="D397" s="15" t="n">
        <x:v>39654.34</x:v>
      </x:c>
      <x:c r="E397" s="15" t="str">
        <x:v>Paid</x:v>
      </x:c>
    </x:row>
    <x:row r="398">
      <x:c r="A398" s="15" t="str">
        <x:v>PAY00397</x:v>
      </x:c>
      <x:c r="B398" s="15" t="str">
        <x:v>ORD00397</x:v>
      </x:c>
      <x:c r="C398" s="15" t="n">
        <x:v>45940</x:v>
      </x:c>
      <x:c r="D398" s="15" t="n">
        <x:v>0</x:v>
      </x:c>
      <x:c r="E398" s="15" t="str">
        <x:v>Not Due</x:v>
      </x:c>
    </x:row>
    <x:row r="399">
      <x:c r="A399" s="15" t="str">
        <x:v>PAY00398</x:v>
      </x:c>
      <x:c r="B399" s="15" t="str">
        <x:v>ORD00398</x:v>
      </x:c>
      <x:c r="C399" s="15" t="n">
        <x:v>46177</x:v>
      </x:c>
      <x:c r="D399" s="15" t="n">
        <x:v>0</x:v>
      </x:c>
      <x:c r="E399" s="15" t="str">
        <x:v>Overdue</x:v>
      </x:c>
    </x:row>
    <x:row r="400">
      <x:c r="A400" s="15" t="str">
        <x:v>PAY00399</x:v>
      </x:c>
      <x:c r="B400" s="15" t="str">
        <x:v>ORD00399</x:v>
      </x:c>
      <x:c r="C400" s="15" t="n">
        <x:v>45978</x:v>
      </x:c>
      <x:c r="D400" s="15" t="n">
        <x:v>62041.42</x:v>
      </x:c>
      <x:c r="E400" s="15" t="str">
        <x:v>Paid</x:v>
      </x:c>
    </x:row>
    <x:row r="401">
      <x:c r="A401" s="15" t="str">
        <x:v>PAY00400</x:v>
      </x:c>
      <x:c r="B401" s="15" t="str">
        <x:v>ORD00400</x:v>
      </x:c>
      <x:c r="C401" s="15" t="n">
        <x:v>46047</x:v>
      </x:c>
      <x:c r="D401" s="15" t="n">
        <x:v>53027.48</x:v>
      </x:c>
      <x:c r="E401" s="15" t="str">
        <x:v>Paid</x:v>
      </x:c>
    </x:row>
    <x:row r="402">
      <x:c r="A402" s="15" t="str">
        <x:v>PAY00401</x:v>
      </x:c>
      <x:c r="B402" s="15" t="str">
        <x:v>ORD00401</x:v>
      </x:c>
      <x:c r="C402" s="15" t="n">
        <x:v>45852</x:v>
      </x:c>
      <x:c r="D402" s="15" t="n">
        <x:v>79994.32</x:v>
      </x:c>
      <x:c r="E402" s="15" t="str">
        <x:v>Paid</x:v>
      </x:c>
    </x:row>
    <x:row r="403">
      <x:c r="A403" s="15" t="str">
        <x:v>PAY00402</x:v>
      </x:c>
      <x:c r="B403" s="15" t="str">
        <x:v>ORD00402</x:v>
      </x:c>
      <x:c r="C403" s="15" t="n">
        <x:v>46214</x:v>
      </x:c>
      <x:c r="D403" s="15" t="n">
        <x:v>143581.45</x:v>
      </x:c>
      <x:c r="E403" s="15" t="str">
        <x:v>Paid</x:v>
      </x:c>
    </x:row>
    <x:row r="404">
      <x:c r="A404" s="15" t="str">
        <x:v>PAY00403</x:v>
      </x:c>
      <x:c r="B404" s="15" t="str">
        <x:v>ORD00403</x:v>
      </x:c>
      <x:c r="C404" s="15" t="n">
        <x:v>45924</x:v>
      </x:c>
      <x:c r="D404" s="15" t="n">
        <x:v>79663.48</x:v>
      </x:c>
      <x:c r="E404" s="15" t="str">
        <x:v>Paid</x:v>
      </x:c>
    </x:row>
    <x:row r="405">
      <x:c r="A405" s="15" t="str">
        <x:v>PAY00404</x:v>
      </x:c>
      <x:c r="B405" s="15" t="str">
        <x:v>ORD00404</x:v>
      </x:c>
      <x:c r="C405" s="15" t="n">
        <x:v>46025</x:v>
      </x:c>
      <x:c r="D405" s="15" t="n">
        <x:v>38895.35</x:v>
      </x:c>
      <x:c r="E405" s="15" t="str">
        <x:v>Paid</x:v>
      </x:c>
    </x:row>
    <x:row r="406">
      <x:c r="A406" s="15" t="str">
        <x:v>PAY00405</x:v>
      </x:c>
      <x:c r="B406" s="15" t="str">
        <x:v>ORD00405</x:v>
      </x:c>
      <x:c r="C406" s="15" t="n">
        <x:v>45738</x:v>
      </x:c>
      <x:c r="D406" s="15" t="n">
        <x:v>30898.24</x:v>
      </x:c>
      <x:c r="E406" s="15" t="str">
        <x:v>Paid</x:v>
      </x:c>
    </x:row>
    <x:row r="407">
      <x:c r="A407" s="15" t="str">
        <x:v>PAY00406</x:v>
      </x:c>
      <x:c r="B407" s="15" t="str">
        <x:v>ORD00406</x:v>
      </x:c>
      <x:c r="C407" s="15" t="n">
        <x:v>45821</x:v>
      </x:c>
      <x:c r="D407" s="15" t="n">
        <x:v>6969.91</x:v>
      </x:c>
      <x:c r="E407" s="15" t="str">
        <x:v>Not Due</x:v>
      </x:c>
    </x:row>
    <x:row r="408">
      <x:c r="A408" s="15" t="str">
        <x:v>PAY00407</x:v>
      </x:c>
      <x:c r="B408" s="15" t="str">
        <x:v>ORD00407</x:v>
      </x:c>
      <x:c r="C408" s="15" t="n">
        <x:v>45723</x:v>
      </x:c>
      <x:c r="D408" s="15" t="n">
        <x:v>21006.31</x:v>
      </x:c>
      <x:c r="E408" s="15" t="str">
        <x:v>Not Due</x:v>
      </x:c>
    </x:row>
    <x:row r="409">
      <x:c r="A409" s="15" t="str">
        <x:v>PAY00408</x:v>
      </x:c>
      <x:c r="B409" s="15" t="str">
        <x:v>ORD00408</x:v>
      </x:c>
      <x:c r="C409" s="15" t="n">
        <x:v>46052</x:v>
      </x:c>
      <x:c r="D409" s="15" t="n">
        <x:v>34898.55</x:v>
      </x:c>
      <x:c r="E409" s="15" t="str">
        <x:v>Paid</x:v>
      </x:c>
    </x:row>
    <x:row r="410">
      <x:c r="A410" s="15" t="str">
        <x:v>PAY00409</x:v>
      </x:c>
      <x:c r="B410" s="15" t="str">
        <x:v>ORD00409</x:v>
      </x:c>
      <x:c r="C410" s="15" t="n">
        <x:v>46030</x:v>
      </x:c>
      <x:c r="D410" s="15" t="n">
        <x:v>0</x:v>
      </x:c>
      <x:c r="E410" s="15" t="str">
        <x:v>Overdue</x:v>
      </x:c>
    </x:row>
    <x:row r="411">
      <x:c r="A411" s="15" t="str">
        <x:v>PAY00410</x:v>
      </x:c>
      <x:c r="B411" s="15" t="str">
        <x:v>ORD00410</x:v>
      </x:c>
      <x:c r="C411" s="15" t="n">
        <x:v>45777</x:v>
      </x:c>
      <x:c r="D411" s="15" t="n">
        <x:v>61584.08</x:v>
      </x:c>
      <x:c r="E411" s="15" t="str">
        <x:v>Paid</x:v>
      </x:c>
    </x:row>
    <x:row r="412">
      <x:c r="A412" s="15" t="str">
        <x:v>PAY00411</x:v>
      </x:c>
      <x:c r="B412" s="15" t="str">
        <x:v>ORD00411</x:v>
      </x:c>
      <x:c r="C412" s="15" t="n">
        <x:v>45746</x:v>
      </x:c>
      <x:c r="D412" s="15" t="n">
        <x:v>28101.61</x:v>
      </x:c>
      <x:c r="E412" s="15" t="str">
        <x:v>Paid</x:v>
      </x:c>
    </x:row>
    <x:row r="413">
      <x:c r="A413" s="15" t="str">
        <x:v>PAY00412</x:v>
      </x:c>
      <x:c r="B413" s="15" t="str">
        <x:v>ORD00412</x:v>
      </x:c>
      <x:c r="C413" s="15" t="n">
        <x:v>45797</x:v>
      </x:c>
      <x:c r="D413" s="15" t="n">
        <x:v>49186.95</x:v>
      </x:c>
      <x:c r="E413" s="15" t="str">
        <x:v>Not Due</x:v>
      </x:c>
    </x:row>
    <x:row r="414">
      <x:c r="A414" s="15" t="str">
        <x:v>PAY00413</x:v>
      </x:c>
      <x:c r="B414" s="15" t="str">
        <x:v>ORD00413</x:v>
      </x:c>
      <x:c r="C414" s="15" t="n">
        <x:v>45834</x:v>
      </x:c>
      <x:c r="D414" s="15" t="n">
        <x:v>0</x:v>
      </x:c>
      <x:c r="E414" s="15" t="str">
        <x:v>Overdue</x:v>
      </x:c>
    </x:row>
    <x:row r="415">
      <x:c r="A415" s="15" t="str">
        <x:v>PAY00414</x:v>
      </x:c>
      <x:c r="B415" s="15" t="str">
        <x:v>ORD00414</x:v>
      </x:c>
      <x:c r="C415" s="15" t="n">
        <x:v>45881</x:v>
      </x:c>
      <x:c r="D415" s="15" t="n">
        <x:v>105693.51</x:v>
      </x:c>
      <x:c r="E415" s="15" t="str">
        <x:v>Paid</x:v>
      </x:c>
    </x:row>
    <x:row r="416">
      <x:c r="A416" s="15" t="str">
        <x:v>PAY00415</x:v>
      </x:c>
      <x:c r="B416" s="15" t="str">
        <x:v>ORD00415</x:v>
      </x:c>
      <x:c r="C416" s="15" t="n">
        <x:v>45858</x:v>
      </x:c>
      <x:c r="D416" s="15" t="n">
        <x:v>0</x:v>
      </x:c>
      <x:c r="E416" s="15" t="str">
        <x:v>Not Due</x:v>
      </x:c>
    </x:row>
    <x:row r="417">
      <x:c r="A417" s="15" t="str">
        <x:v>PAY00416</x:v>
      </x:c>
      <x:c r="B417" s="15" t="str">
        <x:v>ORD00416</x:v>
      </x:c>
      <x:c r="C417" s="15" t="n">
        <x:v>46230</x:v>
      </x:c>
      <x:c r="D417" s="15" t="n">
        <x:v>73019.66</x:v>
      </x:c>
      <x:c r="E417" s="15" t="str">
        <x:v>Paid</x:v>
      </x:c>
    </x:row>
    <x:row r="418">
      <x:c r="A418" s="15" t="str">
        <x:v>PAY00417</x:v>
      </x:c>
      <x:c r="B418" s="15" t="str">
        <x:v>ORD00417</x:v>
      </x:c>
      <x:c r="C418" s="15" t="n">
        <x:v>45896</x:v>
      </x:c>
      <x:c r="D418" s="15" t="n">
        <x:v>21305.55</x:v>
      </x:c>
      <x:c r="E418" s="15" t="str">
        <x:v>Paid</x:v>
      </x:c>
    </x:row>
    <x:row r="419">
      <x:c r="A419" s="15" t="str">
        <x:v>PAY00418</x:v>
      </x:c>
      <x:c r="B419" s="15" t="str">
        <x:v>ORD00418</x:v>
      </x:c>
      <x:c r="C419" s="15" t="n">
        <x:v>46053</x:v>
      </x:c>
      <x:c r="D419" s="15" t="n">
        <x:v>23408.29</x:v>
      </x:c>
      <x:c r="E419" s="15" t="str">
        <x:v>Paid</x:v>
      </x:c>
    </x:row>
    <x:row r="420">
      <x:c r="A420" s="15" t="str">
        <x:v>PAY00419</x:v>
      </x:c>
      <x:c r="B420" s="15" t="str">
        <x:v>ORD00419</x:v>
      </x:c>
      <x:c r="C420" s="15" t="n">
        <x:v>46005</x:v>
      </x:c>
      <x:c r="D420" s="15" t="n">
        <x:v>57134.59</x:v>
      </x:c>
      <x:c r="E420" s="15" t="str">
        <x:v>Not Due</x:v>
      </x:c>
    </x:row>
    <x:row r="421">
      <x:c r="A421" s="15" t="str">
        <x:v>PAY00420</x:v>
      </x:c>
      <x:c r="B421" s="15" t="str">
        <x:v>ORD00420</x:v>
      </x:c>
      <x:c r="C421" s="15" t="n">
        <x:v>45757</x:v>
      </x:c>
      <x:c r="D421" s="15" t="n">
        <x:v>121494.46</x:v>
      </x:c>
      <x:c r="E421" s="15" t="str">
        <x:v>Paid</x:v>
      </x:c>
    </x:row>
    <x:row r="422">
      <x:c r="A422" s="15" t="str">
        <x:v>PAY00421</x:v>
      </x:c>
      <x:c r="B422" s="15" t="str">
        <x:v>ORD00421</x:v>
      </x:c>
      <x:c r="C422" s="15" t="n">
        <x:v>46043</x:v>
      </x:c>
      <x:c r="D422" s="15" t="n">
        <x:v>25688.02</x:v>
      </x:c>
      <x:c r="E422" s="15" t="str">
        <x:v>Not Due</x:v>
      </x:c>
    </x:row>
    <x:row r="423">
      <x:c r="A423" s="15" t="str">
        <x:v>PAY00422</x:v>
      </x:c>
      <x:c r="B423" s="15" t="str">
        <x:v>ORD00422</x:v>
      </x:c>
      <x:c r="C423" s="15" t="n">
        <x:v>45756</x:v>
      </x:c>
      <x:c r="D423" s="15" t="n">
        <x:v>5120.69</x:v>
      </x:c>
      <x:c r="E423" s="15" t="str">
        <x:v>Not Due</x:v>
      </x:c>
    </x:row>
    <x:row r="424">
      <x:c r="A424" s="15" t="str">
        <x:v>PAY00423</x:v>
      </x:c>
      <x:c r="B424" s="15" t="str">
        <x:v>ORD00423</x:v>
      </x:c>
      <x:c r="C424" s="15" t="n">
        <x:v>46105</x:v>
      </x:c>
      <x:c r="D424" s="15" t="n">
        <x:v>32756.12</x:v>
      </x:c>
      <x:c r="E424" s="15" t="str">
        <x:v>Paid</x:v>
      </x:c>
    </x:row>
    <x:row r="425">
      <x:c r="A425" s="15" t="str">
        <x:v>PAY00424</x:v>
      </x:c>
      <x:c r="B425" s="15" t="str">
        <x:v>ORD00424</x:v>
      </x:c>
      <x:c r="C425" s="15" t="n">
        <x:v>46058</x:v>
      </x:c>
      <x:c r="D425" s="15" t="n">
        <x:v>40773.89</x:v>
      </x:c>
      <x:c r="E425" s="15" t="str">
        <x:v>Not Due</x:v>
      </x:c>
    </x:row>
    <x:row r="426">
      <x:c r="A426" s="15" t="str">
        <x:v>PAY00425</x:v>
      </x:c>
      <x:c r="B426" s="15" t="str">
        <x:v>ORD00425</x:v>
      </x:c>
      <x:c r="C426" s="15" t="n">
        <x:v>45909</x:v>
      </x:c>
      <x:c r="D426" s="15" t="n">
        <x:v>27588.9</x:v>
      </x:c>
      <x:c r="E426" s="15" t="str">
        <x:v>Paid</x:v>
      </x:c>
    </x:row>
    <x:row r="427">
      <x:c r="A427" s="15" t="str">
        <x:v>PAY00426</x:v>
      </x:c>
      <x:c r="B427" s="15" t="str">
        <x:v>ORD00426</x:v>
      </x:c>
      <x:c r="C427" s="15" t="n">
        <x:v>46205</x:v>
      </x:c>
      <x:c r="D427" s="15" t="n">
        <x:v>13200.1</x:v>
      </x:c>
      <x:c r="E427" s="15" t="str">
        <x:v>Paid</x:v>
      </x:c>
    </x:row>
    <x:row r="428">
      <x:c r="A428" s="15" t="str">
        <x:v>PAY00427</x:v>
      </x:c>
      <x:c r="B428" s="15" t="str">
        <x:v>ORD00427</x:v>
      </x:c>
      <x:c r="C428" s="15" t="n">
        <x:v>45852</x:v>
      </x:c>
      <x:c r="D428" s="15" t="n">
        <x:v>31546.86</x:v>
      </x:c>
      <x:c r="E428" s="15" t="str">
        <x:v>Paid</x:v>
      </x:c>
    </x:row>
    <x:row r="429">
      <x:c r="A429" s="15" t="str">
        <x:v>PAY00428</x:v>
      </x:c>
      <x:c r="B429" s="15" t="str">
        <x:v>ORD00428</x:v>
      </x:c>
      <x:c r="C429" s="15" t="n">
        <x:v>46163</x:v>
      </x:c>
      <x:c r="D429" s="15" t="n">
        <x:v>117288.05</x:v>
      </x:c>
      <x:c r="E429" s="15" t="str">
        <x:v>Paid</x:v>
      </x:c>
    </x:row>
    <x:row r="430">
      <x:c r="A430" s="15" t="str">
        <x:v>PAY00429</x:v>
      </x:c>
      <x:c r="B430" s="15" t="str">
        <x:v>ORD00429</x:v>
      </x:c>
      <x:c r="C430" s="15" t="n">
        <x:v>46162</x:v>
      </x:c>
      <x:c r="D430" s="15" t="n">
        <x:v>158395.75</x:v>
      </x:c>
      <x:c r="E430" s="15" t="str">
        <x:v>Paid</x:v>
      </x:c>
    </x:row>
    <x:row r="431">
      <x:c r="A431" s="15" t="str">
        <x:v>PAY00430</x:v>
      </x:c>
      <x:c r="B431" s="15" t="str">
        <x:v>ORD00430</x:v>
      </x:c>
      <x:c r="C431" s="15" t="n">
        <x:v>45803</x:v>
      </x:c>
      <x:c r="D431" s="15" t="n">
        <x:v>109145.42</x:v>
      </x:c>
      <x:c r="E431" s="15" t="str">
        <x:v>Paid</x:v>
      </x:c>
    </x:row>
    <x:row r="432">
      <x:c r="A432" s="15" t="str">
        <x:v>PAY00431</x:v>
      </x:c>
      <x:c r="B432" s="15" t="str">
        <x:v>ORD00431</x:v>
      </x:c>
      <x:c r="C432" s="15" t="n">
        <x:v>45793</x:v>
      </x:c>
      <x:c r="D432" s="15" t="n">
        <x:v>32804.27</x:v>
      </x:c>
      <x:c r="E432" s="15" t="str">
        <x:v>Paid</x:v>
      </x:c>
    </x:row>
    <x:row r="433">
      <x:c r="A433" s="15" t="str">
        <x:v>PAY00432</x:v>
      </x:c>
      <x:c r="B433" s="15" t="str">
        <x:v>ORD00432</x:v>
      </x:c>
      <x:c r="C433" s="15" t="n">
        <x:v>45878</x:v>
      </x:c>
      <x:c r="D433" s="15" t="n">
        <x:v>50117.99</x:v>
      </x:c>
      <x:c r="E433" s="15" t="str">
        <x:v>Paid</x:v>
      </x:c>
    </x:row>
    <x:row r="434">
      <x:c r="A434" s="15" t="str">
        <x:v>PAY00433</x:v>
      </x:c>
      <x:c r="B434" s="15" t="str">
        <x:v>ORD00433</x:v>
      </x:c>
      <x:c r="C434" s="15" t="n">
        <x:v>45702</x:v>
      </x:c>
      <x:c r="D434" s="15" t="n">
        <x:v>21914.17</x:v>
      </x:c>
      <x:c r="E434" s="15" t="str">
        <x:v>Paid</x:v>
      </x:c>
    </x:row>
    <x:row r="435">
      <x:c r="A435" s="15" t="str">
        <x:v>PAY00434</x:v>
      </x:c>
      <x:c r="B435" s="15" t="str">
        <x:v>ORD00434</x:v>
      </x:c>
      <x:c r="C435" s="15" t="n">
        <x:v>45888</x:v>
      </x:c>
      <x:c r="D435" s="15" t="n">
        <x:v>0</x:v>
      </x:c>
      <x:c r="E435" s="15" t="str">
        <x:v>Overdue</x:v>
      </x:c>
    </x:row>
    <x:row r="436">
      <x:c r="A436" s="15" t="str">
        <x:v>PAY00435</x:v>
      </x:c>
      <x:c r="B436" s="15" t="str">
        <x:v>ORD00435</x:v>
      </x:c>
      <x:c r="C436" s="15" t="n">
        <x:v>46039</x:v>
      </x:c>
      <x:c r="D436" s="15" t="n">
        <x:v>76704.21</x:v>
      </x:c>
      <x:c r="E436" s="15" t="str">
        <x:v>Paid</x:v>
      </x:c>
    </x:row>
    <x:row r="437">
      <x:c r="A437" s="15" t="str">
        <x:v>PAY00436</x:v>
      </x:c>
      <x:c r="B437" s="15" t="str">
        <x:v>ORD00436</x:v>
      </x:c>
      <x:c r="C437" s="15" t="n">
        <x:v>46148</x:v>
      </x:c>
      <x:c r="D437" s="15" t="n">
        <x:v>66638.25</x:v>
      </x:c>
      <x:c r="E437" s="15" t="str">
        <x:v>Paid</x:v>
      </x:c>
    </x:row>
    <x:row r="438">
      <x:c r="A438" s="15" t="str">
        <x:v>PAY00437</x:v>
      </x:c>
      <x:c r="B438" s="15" t="str">
        <x:v>ORD00437</x:v>
      </x:c>
      <x:c r="C438" s="15" t="n">
        <x:v>46003</x:v>
      </x:c>
      <x:c r="D438" s="15" t="n">
        <x:v>55647.8</x:v>
      </x:c>
      <x:c r="E438" s="15" t="str">
        <x:v>Not Due</x:v>
      </x:c>
    </x:row>
    <x:row r="439">
      <x:c r="A439" s="15" t="str">
        <x:v>PAY00438</x:v>
      </x:c>
      <x:c r="B439" s="15" t="str">
        <x:v>ORD00438</x:v>
      </x:c>
      <x:c r="C439" s="15" t="n">
        <x:v>46110</x:v>
      </x:c>
      <x:c r="D439" s="15" t="n">
        <x:v>61407.16</x:v>
      </x:c>
      <x:c r="E439" s="15" t="str">
        <x:v>Paid</x:v>
      </x:c>
    </x:row>
    <x:row r="440">
      <x:c r="A440" s="15" t="str">
        <x:v>PAY00439</x:v>
      </x:c>
      <x:c r="B440" s="15" t="str">
        <x:v>ORD00439</x:v>
      </x:c>
      <x:c r="C440" s="15" t="n">
        <x:v>45819</x:v>
      </x:c>
      <x:c r="D440" s="15" t="n">
        <x:v>133052.02</x:v>
      </x:c>
      <x:c r="E440" s="15" t="str">
        <x:v>Paid</x:v>
      </x:c>
    </x:row>
    <x:row r="441">
      <x:c r="A441" s="15" t="str">
        <x:v>PAY00440</x:v>
      </x:c>
      <x:c r="B441" s="15" t="str">
        <x:v>ORD00440</x:v>
      </x:c>
      <x:c r="C441" s="15" t="n">
        <x:v>45748</x:v>
      </x:c>
      <x:c r="D441" s="15" t="n">
        <x:v>45539.47</x:v>
      </x:c>
      <x:c r="E441" s="15" t="str">
        <x:v>Paid</x:v>
      </x:c>
    </x:row>
    <x:row r="442">
      <x:c r="A442" s="15" t="str">
        <x:v>PAY00441</x:v>
      </x:c>
      <x:c r="B442" s="15" t="str">
        <x:v>ORD00441</x:v>
      </x:c>
      <x:c r="C442" s="15" t="n">
        <x:v>46028</x:v>
      </x:c>
      <x:c r="D442" s="15" t="n">
        <x:v>63591.98</x:v>
      </x:c>
      <x:c r="E442" s="15" t="str">
        <x:v>Not Due</x:v>
      </x:c>
    </x:row>
    <x:row r="443">
      <x:c r="A443" s="15" t="str">
        <x:v>PAY00442</x:v>
      </x:c>
      <x:c r="B443" s="15" t="str">
        <x:v>ORD00442</x:v>
      </x:c>
      <x:c r="C443" s="15" t="n">
        <x:v>45891</x:v>
      </x:c>
      <x:c r="D443" s="15" t="n">
        <x:v>50934.47</x:v>
      </x:c>
      <x:c r="E443" s="15" t="str">
        <x:v>Paid</x:v>
      </x:c>
    </x:row>
    <x:row r="444">
      <x:c r="A444" s="15" t="str">
        <x:v>PAY00443</x:v>
      </x:c>
      <x:c r="B444" s="15" t="str">
        <x:v>ORD00443</x:v>
      </x:c>
      <x:c r="C444" s="15" t="n">
        <x:v>46139</x:v>
      </x:c>
      <x:c r="D444" s="15" t="n">
        <x:v>7697.38</x:v>
      </x:c>
      <x:c r="E444" s="15" t="str">
        <x:v>Paid</x:v>
      </x:c>
    </x:row>
    <x:row r="445">
      <x:c r="A445" s="15" t="str">
        <x:v>PAY00444</x:v>
      </x:c>
      <x:c r="B445" s="15" t="str">
        <x:v>ORD00444</x:v>
      </x:c>
      <x:c r="C445" s="15" t="n">
        <x:v>45993</x:v>
      </x:c>
      <x:c r="D445" s="15" t="n">
        <x:v>90145.95</x:v>
      </x:c>
      <x:c r="E445" s="15" t="str">
        <x:v>Paid</x:v>
      </x:c>
    </x:row>
    <x:row r="446">
      <x:c r="A446" s="15" t="str">
        <x:v>PAY00445</x:v>
      </x:c>
      <x:c r="B446" s="15" t="str">
        <x:v>ORD00445</x:v>
      </x:c>
      <x:c r="C446" s="15" t="n">
        <x:v>46168</x:v>
      </x:c>
      <x:c r="D446" s="15" t="n">
        <x:v>115512.1</x:v>
      </x:c>
      <x:c r="E446" s="15" t="str">
        <x:v>Paid</x:v>
      </x:c>
    </x:row>
    <x:row r="447">
      <x:c r="A447" s="15" t="str">
        <x:v>PAY00446</x:v>
      </x:c>
      <x:c r="B447" s="15" t="str">
        <x:v>ORD00446</x:v>
      </x:c>
      <x:c r="C447" s="15" t="n">
        <x:v>46048</x:v>
      </x:c>
      <x:c r="D447" s="15" t="n">
        <x:v>40150.94</x:v>
      </x:c>
      <x:c r="E447" s="15" t="str">
        <x:v>Overdue</x:v>
      </x:c>
    </x:row>
    <x:row r="448">
      <x:c r="A448" s="15" t="str">
        <x:v>PAY00447</x:v>
      </x:c>
      <x:c r="B448" s="15" t="str">
        <x:v>ORD00447</x:v>
      </x:c>
      <x:c r="C448" s="15" t="n">
        <x:v>45862</x:v>
      </x:c>
      <x:c r="D448" s="15" t="n">
        <x:v>28922.23</x:v>
      </x:c>
      <x:c r="E448" s="15" t="str">
        <x:v>Paid</x:v>
      </x:c>
    </x:row>
    <x:row r="449">
      <x:c r="A449" s="15" t="str">
        <x:v>PAY00448</x:v>
      </x:c>
      <x:c r="B449" s="15" t="str">
        <x:v>ORD00448</x:v>
      </x:c>
      <x:c r="C449" s="15" t="n">
        <x:v>46110</x:v>
      </x:c>
      <x:c r="D449" s="15" t="n">
        <x:v>0</x:v>
      </x:c>
      <x:c r="E449" s="15" t="str">
        <x:v>Overdue</x:v>
      </x:c>
    </x:row>
    <x:row r="450">
      <x:c r="A450" s="15" t="str">
        <x:v>PAY00449</x:v>
      </x:c>
      <x:c r="B450" s="15" t="str">
        <x:v>ORD00449</x:v>
      </x:c>
      <x:c r="C450" s="15" t="n">
        <x:v>45853</x:v>
      </x:c>
      <x:c r="D450" s="15" t="n">
        <x:v>29472.93</x:v>
      </x:c>
      <x:c r="E450" s="15" t="str">
        <x:v>Not Due</x:v>
      </x:c>
    </x:row>
    <x:row r="451">
      <x:c r="A451" s="15" t="str">
        <x:v>PAY00450</x:v>
      </x:c>
      <x:c r="B451" s="15" t="str">
        <x:v>ORD00450</x:v>
      </x:c>
      <x:c r="C451" s="15" t="n">
        <x:v>45951</x:v>
      </x:c>
      <x:c r="D451" s="15" t="n">
        <x:v>80802.58</x:v>
      </x:c>
      <x:c r="E451" s="15" t="str">
        <x:v>Paid</x:v>
      </x:c>
    </x:row>
    <x:row r="452">
      <x:c r="A452" s="15" t="str">
        <x:v>PAY00451</x:v>
      </x:c>
      <x:c r="B452" s="15" t="str">
        <x:v>ORD00451</x:v>
      </x:c>
      <x:c r="C452" s="15" t="n">
        <x:v>46088</x:v>
      </x:c>
      <x:c r="D452" s="15" t="n">
        <x:v>31918.29</x:v>
      </x:c>
      <x:c r="E452" s="15" t="str">
        <x:v>Not Due</x:v>
      </x:c>
    </x:row>
    <x:row r="453">
      <x:c r="A453" s="15" t="str">
        <x:v>PAY00452</x:v>
      </x:c>
      <x:c r="B453" s="15" t="str">
        <x:v>ORD00452</x:v>
      </x:c>
      <x:c r="C453" s="15" t="n">
        <x:v>45778</x:v>
      </x:c>
      <x:c r="D453" s="15" t="n">
        <x:v>29230.63</x:v>
      </x:c>
      <x:c r="E453" s="15" t="str">
        <x:v>Not Due</x:v>
      </x:c>
    </x:row>
    <x:row r="454">
      <x:c r="A454" s="15" t="str">
        <x:v>PAY00453</x:v>
      </x:c>
      <x:c r="B454" s="15" t="str">
        <x:v>ORD00453</x:v>
      </x:c>
      <x:c r="C454" s="15" t="n">
        <x:v>46132</x:v>
      </x:c>
      <x:c r="D454" s="15" t="n">
        <x:v>94921.69</x:v>
      </x:c>
      <x:c r="E454" s="15" t="str">
        <x:v>Paid</x:v>
      </x:c>
    </x:row>
    <x:row r="455">
      <x:c r="A455" s="15" t="str">
        <x:v>PAY00454</x:v>
      </x:c>
      <x:c r="B455" s="15" t="str">
        <x:v>ORD00454</x:v>
      </x:c>
      <x:c r="C455" s="15" t="n">
        <x:v>45773</x:v>
      </x:c>
      <x:c r="D455" s="15" t="n">
        <x:v>98496.73</x:v>
      </x:c>
      <x:c r="E455" s="15" t="str">
        <x:v>Paid</x:v>
      </x:c>
    </x:row>
    <x:row r="456">
      <x:c r="A456" s="15" t="str">
        <x:v>PAY00455</x:v>
      </x:c>
      <x:c r="B456" s="15" t="str">
        <x:v>ORD00455</x:v>
      </x:c>
      <x:c r="C456" s="15" t="n">
        <x:v>46014</x:v>
      </x:c>
      <x:c r="D456" s="15" t="n">
        <x:v>49462.56</x:v>
      </x:c>
      <x:c r="E456" s="15" t="str">
        <x:v>Not Due</x:v>
      </x:c>
    </x:row>
    <x:row r="457">
      <x:c r="A457" s="15" t="str">
        <x:v>PAY00456</x:v>
      </x:c>
      <x:c r="B457" s="15" t="str">
        <x:v>ORD00456</x:v>
      </x:c>
      <x:c r="C457" s="15" t="n">
        <x:v>46100</x:v>
      </x:c>
      <x:c r="D457" s="15" t="n">
        <x:v>49202.66</x:v>
      </x:c>
      <x:c r="E457" s="15" t="str">
        <x:v>Paid</x:v>
      </x:c>
    </x:row>
    <x:row r="458">
      <x:c r="A458" s="15" t="str">
        <x:v>PAY00457</x:v>
      </x:c>
      <x:c r="B458" s="15" t="str">
        <x:v>ORD00457</x:v>
      </x:c>
      <x:c r="C458" s="15" t="n">
        <x:v>46215</x:v>
      </x:c>
      <x:c r="D458" s="15" t="n">
        <x:v>74274.77</x:v>
      </x:c>
      <x:c r="E458" s="15" t="str">
        <x:v>Not Due</x:v>
      </x:c>
    </x:row>
    <x:row r="459">
      <x:c r="A459" s="15" t="str">
        <x:v>PAY00458</x:v>
      </x:c>
      <x:c r="B459" s="15" t="str">
        <x:v>ORD00458</x:v>
      </x:c>
      <x:c r="C459" s="15" t="n">
        <x:v>45745</x:v>
      </x:c>
      <x:c r="D459" s="15" t="n">
        <x:v>58431.32</x:v>
      </x:c>
      <x:c r="E459" s="15" t="str">
        <x:v>Paid</x:v>
      </x:c>
    </x:row>
    <x:row r="460">
      <x:c r="A460" s="15" t="str">
        <x:v>PAY00459</x:v>
      </x:c>
      <x:c r="B460" s="15" t="str">
        <x:v>ORD00459</x:v>
      </x:c>
      <x:c r="C460" s="15" t="n">
        <x:v>45873</x:v>
      </x:c>
      <x:c r="D460" s="15" t="n">
        <x:v>95980.95</x:v>
      </x:c>
      <x:c r="E460" s="15" t="str">
        <x:v>Paid</x:v>
      </x:c>
    </x:row>
    <x:row r="461">
      <x:c r="A461" s="15" t="str">
        <x:v>PAY00460</x:v>
      </x:c>
      <x:c r="B461" s="15" t="str">
        <x:v>ORD00460</x:v>
      </x:c>
      <x:c r="C461" s="15" t="n">
        <x:v>46022</x:v>
      </x:c>
      <x:c r="D461" s="15" t="n">
        <x:v>115038.02</x:v>
      </x:c>
      <x:c r="E461" s="15" t="str">
        <x:v>Paid</x:v>
      </x:c>
    </x:row>
    <x:row r="462">
      <x:c r="A462" s="15" t="str">
        <x:v>PAY00461</x:v>
      </x:c>
      <x:c r="B462" s="15" t="str">
        <x:v>ORD00461</x:v>
      </x:c>
      <x:c r="C462" s="15" t="n">
        <x:v>45860</x:v>
      </x:c>
      <x:c r="D462" s="15" t="n">
        <x:v>39341.39</x:v>
      </x:c>
      <x:c r="E462" s="15" t="str">
        <x:v>Paid</x:v>
      </x:c>
    </x:row>
    <x:row r="463">
      <x:c r="A463" s="15" t="str">
        <x:v>PAY00462</x:v>
      </x:c>
      <x:c r="B463" s="15" t="str">
        <x:v>ORD00462</x:v>
      </x:c>
      <x:c r="C463" s="15" t="n">
        <x:v>46211</x:v>
      </x:c>
      <x:c r="D463" s="15" t="n">
        <x:v>47949.86</x:v>
      </x:c>
      <x:c r="E463" s="15" t="str">
        <x:v>Paid</x:v>
      </x:c>
    </x:row>
    <x:row r="464">
      <x:c r="A464" s="15" t="str">
        <x:v>PAY00463</x:v>
      </x:c>
      <x:c r="B464" s="15" t="str">
        <x:v>ORD00463</x:v>
      </x:c>
      <x:c r="C464" s="15" t="n">
        <x:v>45874</x:v>
      </x:c>
      <x:c r="D464" s="15" t="n">
        <x:v>51136.17</x:v>
      </x:c>
      <x:c r="E464" s="15" t="str">
        <x:v>Paid</x:v>
      </x:c>
    </x:row>
    <x:row r="465">
      <x:c r="A465" s="15" t="str">
        <x:v>PAY00464</x:v>
      </x:c>
      <x:c r="B465" s="15" t="str">
        <x:v>ORD00464</x:v>
      </x:c>
      <x:c r="C465" s="15" t="n">
        <x:v>45837</x:v>
      </x:c>
      <x:c r="D465" s="15" t="n">
        <x:v>30741.26</x:v>
      </x:c>
      <x:c r="E465" s="15" t="str">
        <x:v>Not Due</x:v>
      </x:c>
    </x:row>
    <x:row r="466">
      <x:c r="A466" s="15" t="str">
        <x:v>PAY00465</x:v>
      </x:c>
      <x:c r="B466" s="15" t="str">
        <x:v>ORD00465</x:v>
      </x:c>
      <x:c r="C466" s="15" t="n">
        <x:v>46211</x:v>
      </x:c>
      <x:c r="D466" s="15" t="n">
        <x:v>0</x:v>
      </x:c>
      <x:c r="E466" s="15" t="str">
        <x:v>Not Due</x:v>
      </x:c>
    </x:row>
    <x:row r="467">
      <x:c r="A467" s="15" t="str">
        <x:v>PAY00466</x:v>
      </x:c>
      <x:c r="B467" s="15" t="str">
        <x:v>ORD00466</x:v>
      </x:c>
      <x:c r="C467" s="15" t="n">
        <x:v>45886</x:v>
      </x:c>
      <x:c r="D467" s="15" t="n">
        <x:v>60625.74</x:v>
      </x:c>
      <x:c r="E467" s="15" t="str">
        <x:v>Paid</x:v>
      </x:c>
    </x:row>
    <x:row r="468">
      <x:c r="A468" s="15" t="str">
        <x:v>PAY00467</x:v>
      </x:c>
      <x:c r="B468" s="15" t="str">
        <x:v>ORD00467</x:v>
      </x:c>
      <x:c r="C468" s="15" t="n">
        <x:v>45751</x:v>
      </x:c>
      <x:c r="D468" s="15" t="n">
        <x:v>53027.07</x:v>
      </x:c>
      <x:c r="E468" s="15" t="str">
        <x:v>Paid</x:v>
      </x:c>
    </x:row>
    <x:row r="469">
      <x:c r="A469" s="15" t="str">
        <x:v>PAY00468</x:v>
      </x:c>
      <x:c r="B469" s="15" t="str">
        <x:v>ORD00468</x:v>
      </x:c>
      <x:c r="C469" s="15" t="n">
        <x:v>45852</x:v>
      </x:c>
      <x:c r="D469" s="15" t="n">
        <x:v>62433.34</x:v>
      </x:c>
      <x:c r="E469" s="15" t="str">
        <x:v>Paid</x:v>
      </x:c>
    </x:row>
    <x:row r="470">
      <x:c r="A470" s="15" t="str">
        <x:v>PAY00469</x:v>
      </x:c>
      <x:c r="B470" s="15" t="str">
        <x:v>ORD00469</x:v>
      </x:c>
      <x:c r="C470" s="15" t="n">
        <x:v>45909</x:v>
      </x:c>
      <x:c r="D470" s="15" t="n">
        <x:v>82949.54</x:v>
      </x:c>
      <x:c r="E470" s="15" t="str">
        <x:v>Paid</x:v>
      </x:c>
    </x:row>
    <x:row r="471">
      <x:c r="A471" s="15" t="str">
        <x:v>PAY00470</x:v>
      </x:c>
      <x:c r="B471" s="15" t="str">
        <x:v>ORD00470</x:v>
      </x:c>
      <x:c r="C471" s="15" t="n">
        <x:v>45991</x:v>
      </x:c>
      <x:c r="D471" s="15" t="n">
        <x:v>20482.75</x:v>
      </x:c>
      <x:c r="E471" s="15" t="str">
        <x:v>Overdue</x:v>
      </x:c>
    </x:row>
    <x:row r="472">
      <x:c r="A472" s="15" t="str">
        <x:v>PAY00471</x:v>
      </x:c>
      <x:c r="B472" s="15" t="str">
        <x:v>ORD00471</x:v>
      </x:c>
      <x:c r="C472" s="15" t="n">
        <x:v>45732</x:v>
      </x:c>
      <x:c r="D472" s="15" t="n">
        <x:v>59179.13</x:v>
      </x:c>
      <x:c r="E472" s="15" t="str">
        <x:v>Paid</x:v>
      </x:c>
    </x:row>
    <x:row r="473">
      <x:c r="A473" s="15" t="str">
        <x:v>PAY00472</x:v>
      </x:c>
      <x:c r="B473" s="15" t="str">
        <x:v>ORD00472</x:v>
      </x:c>
      <x:c r="C473" s="15" t="n">
        <x:v>45800</x:v>
      </x:c>
      <x:c r="D473" s="15" t="n">
        <x:v>11545.52</x:v>
      </x:c>
      <x:c r="E473" s="15" t="str">
        <x:v>Paid</x:v>
      </x:c>
    </x:row>
    <x:row r="474">
      <x:c r="A474" s="15" t="str">
        <x:v>PAY00473</x:v>
      </x:c>
      <x:c r="B474" s="15" t="str">
        <x:v>ORD00473</x:v>
      </x:c>
      <x:c r="C474" s="15" t="n">
        <x:v>45881</x:v>
      </x:c>
      <x:c r="D474" s="15" t="n">
        <x:v>32943.74</x:v>
      </x:c>
      <x:c r="E474" s="15" t="str">
        <x:v>Paid</x:v>
      </x:c>
    </x:row>
    <x:row r="475">
      <x:c r="A475" s="15" t="str">
        <x:v>PAY00474</x:v>
      </x:c>
      <x:c r="B475" s="15" t="str">
        <x:v>ORD00474</x:v>
      </x:c>
      <x:c r="C475" s="15" t="n">
        <x:v>46188</x:v>
      </x:c>
      <x:c r="D475" s="15" t="n">
        <x:v>113785.36</x:v>
      </x:c>
      <x:c r="E475" s="15" t="str">
        <x:v>Paid</x:v>
      </x:c>
    </x:row>
    <x:row r="476">
      <x:c r="A476" s="15" t="str">
        <x:v>PAY00475</x:v>
      </x:c>
      <x:c r="B476" s="15" t="str">
        <x:v>ORD00475</x:v>
      </x:c>
      <x:c r="C476" s="15" t="n">
        <x:v>46176</x:v>
      </x:c>
      <x:c r="D476" s="15" t="n">
        <x:v>27184.02</x:v>
      </x:c>
      <x:c r="E476" s="15" t="str">
        <x:v>Overdue</x:v>
      </x:c>
    </x:row>
    <x:row r="477">
      <x:c r="A477" s="15" t="str">
        <x:v>PAY00476</x:v>
      </x:c>
      <x:c r="B477" s="15" t="str">
        <x:v>ORD00476</x:v>
      </x:c>
      <x:c r="C477" s="15" t="n">
        <x:v>45723</x:v>
      </x:c>
      <x:c r="D477" s="15" t="n">
        <x:v>83483.45</x:v>
      </x:c>
      <x:c r="E477" s="15" t="str">
        <x:v>Paid</x:v>
      </x:c>
    </x:row>
    <x:row r="478">
      <x:c r="A478" s="15" t="str">
        <x:v>PAY00477</x:v>
      </x:c>
      <x:c r="B478" s="15" t="str">
        <x:v>ORD00477</x:v>
      </x:c>
      <x:c r="C478" s="15" t="n">
        <x:v>46100</x:v>
      </x:c>
      <x:c r="D478" s="15" t="n">
        <x:v>0</x:v>
      </x:c>
      <x:c r="E478" s="15" t="str">
        <x:v>Overdue</x:v>
      </x:c>
    </x:row>
    <x:row r="479">
      <x:c r="A479" s="15" t="str">
        <x:v>PAY00478</x:v>
      </x:c>
      <x:c r="B479" s="15" t="str">
        <x:v>ORD00478</x:v>
      </x:c>
      <x:c r="C479" s="15" t="n">
        <x:v>45856</x:v>
      </x:c>
      <x:c r="D479" s="15" t="n">
        <x:v>12144.59</x:v>
      </x:c>
      <x:c r="E479" s="15" t="str">
        <x:v>Paid</x:v>
      </x:c>
    </x:row>
    <x:row r="480">
      <x:c r="A480" s="15" t="str">
        <x:v>PAY00479</x:v>
      </x:c>
      <x:c r="B480" s="15" t="str">
        <x:v>ORD00479</x:v>
      </x:c>
      <x:c r="C480" s="15" t="n">
        <x:v>45992</x:v>
      </x:c>
      <x:c r="D480" s="15" t="n">
        <x:v>25903.5</x:v>
      </x:c>
      <x:c r="E480" s="15" t="str">
        <x:v>Paid</x:v>
      </x:c>
    </x:row>
    <x:row r="481">
      <x:c r="A481" s="15" t="str">
        <x:v>PAY00480</x:v>
      </x:c>
      <x:c r="B481" s="15" t="str">
        <x:v>ORD00480</x:v>
      </x:c>
      <x:c r="C481" s="15" t="n">
        <x:v>46085</x:v>
      </x:c>
      <x:c r="D481" s="15" t="n">
        <x:v>0</x:v>
      </x:c>
      <x:c r="E481" s="15" t="str">
        <x:v>Not Due</x:v>
      </x:c>
    </x:row>
    <x:row r="482">
      <x:c r="A482" s="15" t="str">
        <x:v>PAY00481</x:v>
      </x:c>
      <x:c r="B482" s="15" t="str">
        <x:v>ORD00481</x:v>
      </x:c>
      <x:c r="C482" s="15" t="n">
        <x:v>45892</x:v>
      </x:c>
      <x:c r="D482" s="15" t="n">
        <x:v>67802.19</x:v>
      </x:c>
      <x:c r="E482" s="15" t="str">
        <x:v>Not Due</x:v>
      </x:c>
    </x:row>
    <x:row r="483">
      <x:c r="A483" s="15" t="str">
        <x:v>PAY00482</x:v>
      </x:c>
      <x:c r="B483" s="15" t="str">
        <x:v>ORD00482</x:v>
      </x:c>
      <x:c r="C483" s="15" t="n">
        <x:v>45713</x:v>
      </x:c>
      <x:c r="D483" s="15" t="n">
        <x:v>46975.61</x:v>
      </x:c>
      <x:c r="E483" s="15" t="str">
        <x:v>Paid</x:v>
      </x:c>
    </x:row>
    <x:row r="484">
      <x:c r="A484" s="15" t="str">
        <x:v>PAY00483</x:v>
      </x:c>
      <x:c r="B484" s="15" t="str">
        <x:v>ORD00483</x:v>
      </x:c>
      <x:c r="C484" s="15" t="n">
        <x:v>46022</x:v>
      </x:c>
      <x:c r="D484" s="15" t="n">
        <x:v>0</x:v>
      </x:c>
      <x:c r="E484" s="15" t="str">
        <x:v>Not Due</x:v>
      </x:c>
    </x:row>
    <x:row r="485">
      <x:c r="A485" s="15" t="str">
        <x:v>PAY00484</x:v>
      </x:c>
      <x:c r="B485" s="15" t="str">
        <x:v>ORD00484</x:v>
      </x:c>
      <x:c r="C485" s="15" t="n">
        <x:v>45898</x:v>
      </x:c>
      <x:c r="D485" s="15" t="n">
        <x:v>63316.29</x:v>
      </x:c>
      <x:c r="E485" s="15" t="str">
        <x:v>Not Due</x:v>
      </x:c>
    </x:row>
    <x:row r="486">
      <x:c r="A486" s="15" t="str">
        <x:v>PAY00485</x:v>
      </x:c>
      <x:c r="B486" s="15" t="str">
        <x:v>ORD00485</x:v>
      </x:c>
      <x:c r="C486" s="15" t="n">
        <x:v>45871</x:v>
      </x:c>
      <x:c r="D486" s="15" t="n">
        <x:v>68750.08</x:v>
      </x:c>
      <x:c r="E486" s="15" t="str">
        <x:v>Paid</x:v>
      </x:c>
    </x:row>
    <x:row r="487">
      <x:c r="A487" s="15" t="str">
        <x:v>PAY00486</x:v>
      </x:c>
      <x:c r="B487" s="15" t="str">
        <x:v>ORD00486</x:v>
      </x:c>
      <x:c r="C487" s="15" t="n">
        <x:v>45964</x:v>
      </x:c>
      <x:c r="D487" s="15" t="n">
        <x:v>24339.38</x:v>
      </x:c>
      <x:c r="E487" s="15" t="str">
        <x:v>Paid</x:v>
      </x:c>
    </x:row>
    <x:row r="488">
      <x:c r="A488" s="15" t="str">
        <x:v>PAY00487</x:v>
      </x:c>
      <x:c r="B488" s="15" t="str">
        <x:v>ORD00487</x:v>
      </x:c>
      <x:c r="C488" s="15" t="n">
        <x:v>45887</x:v>
      </x:c>
      <x:c r="D488" s="15" t="n">
        <x:v>34909.32</x:v>
      </x:c>
      <x:c r="E488" s="15" t="str">
        <x:v>Paid</x:v>
      </x:c>
    </x:row>
    <x:row r="489">
      <x:c r="A489" s="15" t="str">
        <x:v>PAY00488</x:v>
      </x:c>
      <x:c r="B489" s="15" t="str">
        <x:v>ORD00488</x:v>
      </x:c>
      <x:c r="C489" s="15" t="n">
        <x:v>45898</x:v>
      </x:c>
      <x:c r="D489" s="15" t="n">
        <x:v>105335.32</x:v>
      </x:c>
      <x:c r="E489" s="15" t="str">
        <x:v>Paid</x:v>
      </x:c>
    </x:row>
    <x:row r="490">
      <x:c r="A490" s="15" t="str">
        <x:v>PAY00489</x:v>
      </x:c>
      <x:c r="B490" s="15" t="str">
        <x:v>ORD00489</x:v>
      </x:c>
      <x:c r="C490" s="15" t="n">
        <x:v>45856</x:v>
      </x:c>
      <x:c r="D490" s="15" t="n">
        <x:v>63494.93</x:v>
      </x:c>
      <x:c r="E490" s="15" t="str">
        <x:v>Paid</x:v>
      </x:c>
    </x:row>
    <x:row r="491">
      <x:c r="A491" s="15" t="str">
        <x:v>PAY00490</x:v>
      </x:c>
      <x:c r="B491" s="15" t="str">
        <x:v>ORD00490</x:v>
      </x:c>
      <x:c r="C491" s="15" t="n">
        <x:v>45922</x:v>
      </x:c>
      <x:c r="D491" s="15" t="n">
        <x:v>46829.14</x:v>
      </x:c>
      <x:c r="E491" s="15" t="str">
        <x:v>Overdue</x:v>
      </x:c>
    </x:row>
    <x:row r="492">
      <x:c r="A492" s="15" t="str">
        <x:v>PAY00491</x:v>
      </x:c>
      <x:c r="B492" s="15" t="str">
        <x:v>ORD00491</x:v>
      </x:c>
      <x:c r="C492" s="15" t="n">
        <x:v>45782</x:v>
      </x:c>
      <x:c r="D492" s="15" t="n">
        <x:v>18889.92</x:v>
      </x:c>
      <x:c r="E492" s="15" t="str">
        <x:v>Not Due</x:v>
      </x:c>
    </x:row>
    <x:row r="493">
      <x:c r="A493" s="15" t="str">
        <x:v>PAY00492</x:v>
      </x:c>
      <x:c r="B493" s="15" t="str">
        <x:v>ORD00492</x:v>
      </x:c>
      <x:c r="C493" s="15" t="n">
        <x:v>45930</x:v>
      </x:c>
      <x:c r="D493" s="15" t="n">
        <x:v>105703.8</x:v>
      </x:c>
      <x:c r="E493" s="15" t="str">
        <x:v>Paid</x:v>
      </x:c>
    </x:row>
    <x:row r="494">
      <x:c r="A494" s="15" t="str">
        <x:v>PAY00493</x:v>
      </x:c>
      <x:c r="B494" s="15" t="str">
        <x:v>ORD00493</x:v>
      </x:c>
      <x:c r="C494" s="15" t="n">
        <x:v>46126</x:v>
      </x:c>
      <x:c r="D494" s="15" t="n">
        <x:v>117408.18</x:v>
      </x:c>
      <x:c r="E494" s="15" t="str">
        <x:v>Paid</x:v>
      </x:c>
    </x:row>
    <x:row r="495">
      <x:c r="A495" s="15" t="str">
        <x:v>PAY00494</x:v>
      </x:c>
      <x:c r="B495" s="15" t="str">
        <x:v>ORD00494</x:v>
      </x:c>
      <x:c r="C495" s="15" t="n">
        <x:v>45716</x:v>
      </x:c>
      <x:c r="D495" s="15" t="n">
        <x:v>0</x:v>
      </x:c>
      <x:c r="E495" s="15" t="str">
        <x:v>Not Due</x:v>
      </x:c>
    </x:row>
    <x:row r="496">
      <x:c r="A496" s="15" t="str">
        <x:v>PAY00495</x:v>
      </x:c>
      <x:c r="B496" s="15" t="str">
        <x:v>ORD00495</x:v>
      </x:c>
      <x:c r="C496" s="15" t="n">
        <x:v>45672</x:v>
      </x:c>
      <x:c r="D496" s="15" t="n">
        <x:v>14508.62</x:v>
      </x:c>
      <x:c r="E496" s="15" t="str">
        <x:v>Paid</x:v>
      </x:c>
    </x:row>
    <x:row r="497">
      <x:c r="A497" s="15" t="str">
        <x:v>PAY00496</x:v>
      </x:c>
      <x:c r="B497" s="15" t="str">
        <x:v>ORD00496</x:v>
      </x:c>
      <x:c r="C497" s="15" t="n">
        <x:v>45867</x:v>
      </x:c>
      <x:c r="D497" s="15" t="n">
        <x:v>39734.48</x:v>
      </x:c>
      <x:c r="E497" s="15" t="str">
        <x:v>Paid</x:v>
      </x:c>
    </x:row>
    <x:row r="498">
      <x:c r="A498" s="15" t="str">
        <x:v>PAY00497</x:v>
      </x:c>
      <x:c r="B498" s="15" t="str">
        <x:v>ORD00497</x:v>
      </x:c>
      <x:c r="C498" s="15" t="n">
        <x:v>46226</x:v>
      </x:c>
      <x:c r="D498" s="15" t="n">
        <x:v>150604.73</x:v>
      </x:c>
      <x:c r="E498" s="15" t="str">
        <x:v>Paid</x:v>
      </x:c>
    </x:row>
    <x:row r="499">
      <x:c r="A499" s="15" t="str">
        <x:v>PAY00498</x:v>
      </x:c>
      <x:c r="B499" s="15" t="str">
        <x:v>ORD00498</x:v>
      </x:c>
      <x:c r="C499" s="15" t="n">
        <x:v>46076</x:v>
      </x:c>
      <x:c r="D499" s="15" t="n">
        <x:v>82214.3</x:v>
      </x:c>
      <x:c r="E499" s="15" t="str">
        <x:v>Paid</x:v>
      </x:c>
    </x:row>
    <x:row r="500">
      <x:c r="A500" s="15" t="str">
        <x:v>PAY00499</x:v>
      </x:c>
      <x:c r="B500" s="15" t="str">
        <x:v>ORD00499</x:v>
      </x:c>
      <x:c r="C500" s="15" t="n">
        <x:v>46151</x:v>
      </x:c>
      <x:c r="D500" s="15" t="n">
        <x:v>26631.66</x:v>
      </x:c>
      <x:c r="E500" s="15" t="str">
        <x:v>Paid</x:v>
      </x:c>
    </x:row>
    <x:row r="501">
      <x:c r="A501" s="15" t="str">
        <x:v>PAY00500</x:v>
      </x:c>
      <x:c r="B501" s="15" t="str">
        <x:v>ORD00500</x:v>
      </x:c>
      <x:c r="C501" s="15" t="n">
        <x:v>45911</x:v>
      </x:c>
      <x:c r="D501" s="15" t="n">
        <x:v>76451.49</x:v>
      </x:c>
      <x:c r="E501" s="15" t="str">
        <x:v>Paid</x:v>
      </x:c>
    </x:row>
  </x:sheetData>
  <x:pageMargins left="0.7" right="0.7" top="0.75" bottom="0.75" header="0.3" footer="0.3"/>
  <x:tableParts count="1">
    <x:tablePart xmlns:r="http://schemas.openxmlformats.org/officeDocument/2006/relationships" r:id="R5556a8cc994c4bf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2" t="str">
        <x:v>KPI</x:v>
      </x:c>
      <x:c r="B1" s="22" t="str">
        <x:v>Excel Formula Replicating SQL Output</x:v>
      </x:c>
    </x:row>
    <x:row r="2">
      <x:c r="A2" t="str">
        <x:v>Total Revenue</x:v>
      </x:c>
      <x:c r="B2" s="28" t="n">
        <x:f>SUMIFS(Order_Items!H:H,Order_Items!B:B,"&lt;&gt;")</x:f>
        <x:v>30367072.530000016</x:v>
      </x:c>
    </x:row>
    <x:row r="3">
      <x:c r="A3" t="str">
        <x:v>Total Profit</x:v>
      </x:c>
      <x:c r="B3" s="28" t="n">
        <x:f>SUM(Order_Items!J:J)</x:f>
        <x:v>6170978.53</x:v>
      </x:c>
    </x:row>
    <x:row r="4">
      <x:c r="A4" t="str">
        <x:v>Profit Margin %</x:v>
      </x:c>
      <x:c r="B4" s="30" t="n">
        <x:f>IFERROR(B3/B2,0)</x:f>
        <x:v>0.20321282283313982</x:v>
      </x:c>
    </x:row>
    <x:row r="5">
      <x:c r="A5" t="str">
        <x:v>Delivered Orders</x:v>
      </x:c>
      <x:c r="B5" s="28" t="n">
        <x:f>COUNTIF(Orders!G:G,"Delivered")</x:f>
        <x:v>401</x:v>
      </x:c>
    </x:row>
    <x:row r="6">
      <x:c r="A6" t="str">
        <x:v>Return Amount</x:v>
      </x:c>
      <x:c r="B6" s="28" t="n">
        <x:f>SUMIFS(Returns!E:E,Returns!F:F,"Approved")</x:f>
        <x:v>380658.13</x:v>
      </x:c>
    </x:row>
    <x:row r="7">
      <x:c r="A7" t="str">
        <x:v>Collection Amount</x:v>
      </x:c>
      <x:c r="B7" s="28" t="n">
        <x:f>SUM(Payments!D:D)</x:f>
        <x:v>24293410.210000005</x:v>
      </x:c>
    </x:row>
    <x:row r="8">
      <x:c r="A8" t="str">
        <x:v>Outstanding Amount</x:v>
      </x:c>
      <x:c r="B8" s="28" t="n">
        <x:f>B2-B7</x:f>
        <x:v>6073662.3200000115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2" t="str">
        <x:v>Month</x:v>
      </x:c>
      <x:c r="B1" s="34" t="str">
        <x:v>Revenue</x:v>
      </x:c>
      <x:c r="C1" s="34" t="str">
        <x:v>Profit</x:v>
      </x:c>
      <x:c r="D1" s="22" t="str">
        <x:v>Orders</x:v>
      </x:c>
      <x:c r="E1" s="36" t="str">
        <x:v>Margin %</x:v>
      </x:c>
    </x:row>
    <x:row r="2">
      <x:c r="A2" t="n">
        <x:v>45658</x:v>
      </x:c>
      <x:c r="B2" t="n">
        <x:f>SUMIFS(Order_Items!H:H,Order_Items!L:L,"&gt;="&amp;A2,Order_Items!L:L,"&lt;"&amp;EDATE(A2,1))</x:f>
        <x:v>1114727.2400000007</x:v>
      </x:c>
      <x:c r="C2" t="n">
        <x:f>SUMIFS(Order_Items!J:J,Order_Items!L:L,"&gt;="&amp;A2,Order_Items!L:L,"&lt;"&amp;EDATE(A2,1))</x:f>
        <x:v>249843.23999999996</x:v>
      </x:c>
      <x:c r="D2" t="n">
        <x:f>COUNTIFS(Orders!B:B,"&gt;="&amp;A2,Orders!B:B,"&lt;"&amp;EDATE(A2,1),Orders!G:G,"Delivered")</x:f>
        <x:v>19</x:v>
      </x:c>
      <x:c r="E2" t="n">
        <x:f>IFERROR(C2/B2,0)</x:f>
        <x:v>0.2241294830114673</x:v>
      </x:c>
    </x:row>
    <x:row r="3">
      <x:c r="A3" t="n">
        <x:v>45689</x:v>
      </x:c>
      <x:c r="B3" t="n">
        <x:f>SUMIFS(Order_Items!H:H,Order_Items!L:L,"&gt;="&amp;A3,Order_Items!L:L,"&lt;"&amp;EDATE(A3,1))</x:f>
        <x:v>986888.5599999998</x:v>
      </x:c>
      <x:c r="C3" t="n">
        <x:f>SUMIFS(Order_Items!J:J,Order_Items!L:L,"&gt;="&amp;A3,Order_Items!L:L,"&lt;"&amp;EDATE(A3,1))</x:f>
        <x:v>209268.5599999999</x:v>
      </x:c>
      <x:c r="D3" t="n">
        <x:f>COUNTIFS(Orders!B:B,"&gt;="&amp;A3,Orders!B:B,"&lt;"&amp;EDATE(A3,1),Orders!G:G,"Delivered")</x:f>
        <x:v>16</x:v>
      </x:c>
      <x:c r="E3" t="n">
        <x:f>IFERROR(C3/B3,0)</x:f>
        <x:v>0.2120488254519841</x:v>
      </x:c>
    </x:row>
    <x:row r="4">
      <x:c r="A4" t="n">
        <x:v>45717</x:v>
      </x:c>
      <x:c r="B4" t="n">
        <x:f>SUMIFS(Order_Items!H:H,Order_Items!L:L,"&gt;="&amp;A4,Order_Items!L:L,"&lt;"&amp;EDATE(A4,1))</x:f>
        <x:v>2101658.370000001</x:v>
      </x:c>
      <x:c r="C4" t="n">
        <x:f>SUMIFS(Order_Items!J:J,Order_Items!L:L,"&gt;="&amp;A4,Order_Items!L:L,"&lt;"&amp;EDATE(A4,1))</x:f>
        <x:v>439967.3699999998</x:v>
      </x:c>
      <x:c r="D4" t="n">
        <x:f>COUNTIFS(Orders!B:B,"&gt;="&amp;A4,Orders!B:B,"&lt;"&amp;EDATE(A4,1),Orders!G:G,"Delivered")</x:f>
        <x:v>27</x:v>
      </x:c>
      <x:c r="E4" t="n">
        <x:f>IFERROR(C4/B4,0)</x:f>
        <x:v>0.20934295329835154</x:v>
      </x:c>
    </x:row>
    <x:row r="5">
      <x:c r="A5" t="n">
        <x:v>45748</x:v>
      </x:c>
      <x:c r="B5" t="n">
        <x:f>SUMIFS(Order_Items!H:H,Order_Items!L:L,"&gt;="&amp;A5,Order_Items!L:L,"&lt;"&amp;EDATE(A5,1))</x:f>
        <x:v>1445668.5800000003</x:v>
      </x:c>
      <x:c r="C5" t="n">
        <x:f>SUMIFS(Order_Items!J:J,Order_Items!L:L,"&gt;="&amp;A5,Order_Items!L:L,"&lt;"&amp;EDATE(A5,1))</x:f>
        <x:v>274627.57999999996</x:v>
      </x:c>
      <x:c r="D5" t="n">
        <x:f>COUNTIFS(Orders!B:B,"&gt;="&amp;A5,Orders!B:B,"&lt;"&amp;EDATE(A5,1),Orders!G:G,"Delivered")</x:f>
        <x:v>23</x:v>
      </x:c>
      <x:c r="E5" t="n">
        <x:f>IFERROR(C5/B5,0)</x:f>
        <x:v>0.18996579423480303</x:v>
      </x:c>
    </x:row>
    <x:row r="6">
      <x:c r="A6" t="n">
        <x:v>45778</x:v>
      </x:c>
      <x:c r="B6" t="n">
        <x:f>SUMIFS(Order_Items!H:H,Order_Items!L:L,"&gt;="&amp;A6,Order_Items!L:L,"&lt;"&amp;EDATE(A6,1))</x:f>
        <x:v>1666246.7500000007</x:v>
      </x:c>
      <x:c r="C6" t="n">
        <x:f>SUMIFS(Order_Items!J:J,Order_Items!L:L,"&gt;="&amp;A6,Order_Items!L:L,"&lt;"&amp;EDATE(A6,1))</x:f>
        <x:v>328628.74999999994</x:v>
      </x:c>
      <x:c r="D6" t="n">
        <x:f>COUNTIFS(Orders!B:B,"&gt;="&amp;A6,Orders!B:B,"&lt;"&amp;EDATE(A6,1),Orders!G:G,"Delivered")</x:f>
        <x:v>23</x:v>
      </x:c>
      <x:c r="E6" t="n">
        <x:f>IFERROR(C6/B6,0)</x:f>
        <x:v>0.19722694132786744</x:v>
      </x:c>
    </x:row>
    <x:row r="7">
      <x:c r="A7" t="n">
        <x:v>45809</x:v>
      </x:c>
      <x:c r="B7" t="n">
        <x:f>SUMIFS(Order_Items!H:H,Order_Items!L:L,"&gt;="&amp;A7,Order_Items!L:L,"&lt;"&amp;EDATE(A7,1))</x:f>
        <x:v>2338614.14</x:v>
      </x:c>
      <x:c r="C7" t="n">
        <x:f>SUMIFS(Order_Items!J:J,Order_Items!L:L,"&gt;="&amp;A7,Order_Items!L:L,"&lt;"&amp;EDATE(A7,1))</x:f>
        <x:v>487400.13999999996</x:v>
      </x:c>
      <x:c r="D7" t="n">
        <x:f>COUNTIFS(Orders!B:B,"&gt;="&amp;A7,Orders!B:B,"&lt;"&amp;EDATE(A7,1),Orders!G:G,"Delivered")</x:f>
        <x:v>34</x:v>
      </x:c>
      <x:c r="E7" t="n">
        <x:f>IFERROR(C7/B7,0)</x:f>
        <x:v>0.20841409091967603</x:v>
      </x:c>
    </x:row>
    <x:row r="8">
      <x:c r="A8" t="n">
        <x:v>45839</x:v>
      </x:c>
      <x:c r="B8" t="n">
        <x:f>SUMIFS(Order_Items!H:H,Order_Items!L:L,"&gt;="&amp;A8,Order_Items!L:L,"&lt;"&amp;EDATE(A8,1))</x:f>
        <x:v>2200792.49</x:v>
      </x:c>
      <x:c r="C8" t="n">
        <x:f>SUMIFS(Order_Items!J:J,Order_Items!L:L,"&gt;="&amp;A8,Order_Items!L:L,"&lt;"&amp;EDATE(A8,1))</x:f>
        <x:v>427512.4899999999</x:v>
      </x:c>
      <x:c r="D8" t="n">
        <x:f>COUNTIFS(Orders!B:B,"&gt;="&amp;A8,Orders!B:B,"&lt;"&amp;EDATE(A8,1),Orders!G:G,"Delivered")</x:f>
        <x:v>26</x:v>
      </x:c>
      <x:c r="E8" t="n">
        <x:f>IFERROR(C8/B8,0)</x:f>
        <x:v>0.19425388442687744</x:v>
      </x:c>
    </x:row>
    <x:row r="9">
      <x:c r="A9" t="n">
        <x:v>45870</x:v>
      </x:c>
      <x:c r="B9" t="n">
        <x:f>SUMIFS(Order_Items!H:H,Order_Items!L:L,"&gt;="&amp;A9,Order_Items!L:L,"&lt;"&amp;EDATE(A9,1))</x:f>
        <x:v>1615822.6600000004</x:v>
      </x:c>
      <x:c r="C9" t="n">
        <x:f>SUMIFS(Order_Items!J:J,Order_Items!L:L,"&gt;="&amp;A9,Order_Items!L:L,"&lt;"&amp;EDATE(A9,1))</x:f>
        <x:v>319800.66000000003</x:v>
      </x:c>
      <x:c r="D9" t="n">
        <x:f>COUNTIFS(Orders!B:B,"&gt;="&amp;A9,Orders!B:B,"&lt;"&amp;EDATE(A9,1),Orders!G:G,"Delivered")</x:f>
        <x:v>19</x:v>
      </x:c>
      <x:c r="E9" t="n">
        <x:f>IFERROR(C9/B9,0)</x:f>
        <x:v>0.19791816757910793</x:v>
      </x:c>
    </x:row>
    <x:row r="10">
      <x:c r="A10" t="n">
        <x:v>45901</x:v>
      </x:c>
      <x:c r="B10" t="n">
        <x:f>SUMIFS(Order_Items!H:H,Order_Items!L:L,"&gt;="&amp;A10,Order_Items!L:L,"&lt;"&amp;EDATE(A10,1))</x:f>
        <x:v>1464536.6899999997</x:v>
      </x:c>
      <x:c r="C10" t="n">
        <x:f>SUMIFS(Order_Items!J:J,Order_Items!L:L,"&gt;="&amp;A10,Order_Items!L:L,"&lt;"&amp;EDATE(A10,1))</x:f>
        <x:v>301160.68999999994</x:v>
      </x:c>
      <x:c r="D10" t="n">
        <x:f>COUNTIFS(Orders!B:B,"&gt;="&amp;A10,Orders!B:B,"&lt;"&amp;EDATE(A10,1),Orders!G:G,"Delivered")</x:f>
        <x:v>17</x:v>
      </x:c>
      <x:c r="E10" t="n">
        <x:f>IFERROR(C10/B10,0)</x:f>
        <x:v>0.20563546960370108</x:v>
      </x:c>
    </x:row>
    <x:row r="11">
      <x:c r="A11" t="n">
        <x:v>45931</x:v>
      </x:c>
      <x:c r="B11" t="n">
        <x:f>SUMIFS(Order_Items!H:H,Order_Items!L:L,"&gt;="&amp;A11,Order_Items!L:L,"&lt;"&amp;EDATE(A11,1))</x:f>
        <x:v>1292782.91</x:v>
      </x:c>
      <x:c r="C11" t="n">
        <x:f>SUMIFS(Order_Items!J:J,Order_Items!L:L,"&gt;="&amp;A11,Order_Items!L:L,"&lt;"&amp;EDATE(A11,1))</x:f>
        <x:v>279954.91000000003</x:v>
      </x:c>
      <x:c r="D11" t="n">
        <x:f>COUNTIFS(Orders!B:B,"&gt;="&amp;A11,Orders!B:B,"&lt;"&amp;EDATE(A11,1),Orders!G:G,"Delivered")</x:f>
        <x:v>19</x:v>
      </x:c>
      <x:c r="E11" t="n">
        <x:f>IFERROR(C11/B11,0)</x:f>
        <x:v>0.21655214331383763</x:v>
      </x:c>
    </x:row>
    <x:row r="12">
      <x:c r="A12" t="n">
        <x:v>45962</x:v>
      </x:c>
      <x:c r="B12" t="n">
        <x:f>SUMIFS(Order_Items!H:H,Order_Items!L:L,"&gt;="&amp;A12,Order_Items!L:L,"&lt;"&amp;EDATE(A12,1))</x:f>
        <x:v>1798338.2900000007</x:v>
      </x:c>
      <x:c r="C12" t="n">
        <x:f>SUMIFS(Order_Items!J:J,Order_Items!L:L,"&gt;="&amp;A12,Order_Items!L:L,"&lt;"&amp;EDATE(A12,1))</x:f>
        <x:v>344234.29000000004</x:v>
      </x:c>
      <x:c r="D12" t="n">
        <x:f>COUNTIFS(Orders!B:B,"&gt;="&amp;A12,Orders!B:B,"&lt;"&amp;EDATE(A12,1),Orders!G:G,"Delivered")</x:f>
        <x:v>20</x:v>
      </x:c>
      <x:c r="E12" t="n">
        <x:f>IFERROR(C12/B12,0)</x:f>
        <x:v>0.19141798398787355</x:v>
      </x:c>
    </x:row>
    <x:row r="13">
      <x:c r="A13" t="n">
        <x:v>45992</x:v>
      </x:c>
      <x:c r="B13" t="n">
        <x:f>SUMIFS(Order_Items!H:H,Order_Items!L:L,"&gt;="&amp;A13,Order_Items!L:L,"&lt;"&amp;EDATE(A13,1))</x:f>
        <x:v>2512110.71</x:v>
      </x:c>
      <x:c r="C13" t="n">
        <x:f>SUMIFS(Order_Items!J:J,Order_Items!L:L,"&gt;="&amp;A13,Order_Items!L:L,"&lt;"&amp;EDATE(A13,1))</x:f>
        <x:v>504435.71</x:v>
      </x:c>
      <x:c r="D13" t="n">
        <x:f>COUNTIFS(Orders!B:B,"&gt;="&amp;A13,Orders!B:B,"&lt;"&amp;EDATE(A13,1),Orders!G:G,"Delivered")</x:f>
        <x:v>25</x:v>
      </x:c>
      <x:c r="E13" t="n">
        <x:f>IFERROR(C13/B13,0)</x:f>
        <x:v>0.2008015442918119</x:v>
      </x:c>
    </x:row>
    <x:row r="14">
      <x:c r="A14" t="n">
        <x:v>46023</x:v>
      </x:c>
      <x:c r="B14" t="n">
        <x:f>SUMIFS(Order_Items!H:H,Order_Items!L:L,"&gt;="&amp;A14,Order_Items!L:L,"&lt;"&amp;EDATE(A14,1))</x:f>
        <x:v>2066923.8400000003</x:v>
      </x:c>
      <x:c r="C14" t="n">
        <x:f>SUMIFS(Order_Items!J:J,Order_Items!L:L,"&gt;="&amp;A14,Order_Items!L:L,"&lt;"&amp;EDATE(A14,1))</x:f>
        <x:v>426403.8400000001</x:v>
      </x:c>
      <x:c r="D14" t="n">
        <x:f>COUNTIFS(Orders!B:B,"&gt;="&amp;A14,Orders!B:B,"&lt;"&amp;EDATE(A14,1),Orders!G:G,"Delivered")</x:f>
        <x:v>28</x:v>
      </x:c>
      <x:c r="E14" t="n">
        <x:f>IFERROR(C14/B14,0)</x:f>
        <x:v>0.20629876715728435</x:v>
      </x:c>
    </x:row>
    <x:row r="15">
      <x:c r="A15" t="n">
        <x:v>46054</x:v>
      </x:c>
      <x:c r="B15" t="n">
        <x:f>SUMIFS(Order_Items!H:H,Order_Items!L:L,"&gt;="&amp;A15,Order_Items!L:L,"&lt;"&amp;EDATE(A15,1))</x:f>
        <x:v>1764599.7000000004</x:v>
      </x:c>
      <x:c r="C15" t="n">
        <x:f>SUMIFS(Order_Items!J:J,Order_Items!L:L,"&gt;="&amp;A15,Order_Items!L:L,"&lt;"&amp;EDATE(A15,1))</x:f>
        <x:v>383663.69999999995</x:v>
      </x:c>
      <x:c r="D15" t="n">
        <x:f>COUNTIFS(Orders!B:B,"&gt;="&amp;A15,Orders!B:B,"&lt;"&amp;EDATE(A15,1),Orders!G:G,"Delivered")</x:f>
        <x:v>23</x:v>
      </x:c>
      <x:c r="E15" t="n">
        <x:f>IFERROR(C15/B15,0)</x:f>
        <x:v>0.21742251231256576</x:v>
      </x:c>
    </x:row>
    <x:row r="16">
      <x:c r="A16" t="n">
        <x:v>46082</x:v>
      </x:c>
      <x:c r="B16" t="n">
        <x:f>SUMIFS(Order_Items!H:H,Order_Items!L:L,"&gt;="&amp;A16,Order_Items!L:L,"&lt;"&amp;EDATE(A16,1))</x:f>
        <x:v>1018263.5900000001</x:v>
      </x:c>
      <x:c r="C16" t="n">
        <x:f>SUMIFS(Order_Items!J:J,Order_Items!L:L,"&gt;="&amp;A16,Order_Items!L:L,"&lt;"&amp;EDATE(A16,1))</x:f>
        <x:v>208369.59</x:v>
      </x:c>
      <x:c r="D16" t="n">
        <x:f>COUNTIFS(Orders!B:B,"&gt;="&amp;A16,Orders!B:B,"&lt;"&amp;EDATE(A16,1),Orders!G:G,"Delivered")</x:f>
        <x:v>18</x:v>
      </x:c>
      <x:c r="E16" t="n">
        <x:f>IFERROR(C16/B16,0)</x:f>
        <x:v>0.20463227011779925</x:v>
      </x:c>
    </x:row>
    <x:row r="17">
      <x:c r="A17" t="n">
        <x:v>46113</x:v>
      </x:c>
      <x:c r="B17" t="n">
        <x:f>SUMIFS(Order_Items!H:H,Order_Items!L:L,"&gt;="&amp;A17,Order_Items!L:L,"&lt;"&amp;EDATE(A17,1))</x:f>
        <x:v>1985003.3200000003</x:v>
      </x:c>
      <x:c r="C17" t="n">
        <x:f>SUMIFS(Order_Items!J:J,Order_Items!L:L,"&gt;="&amp;A17,Order_Items!L:L,"&lt;"&amp;EDATE(A17,1))</x:f>
        <x:v>379559.32000000007</x:v>
      </x:c>
      <x:c r="D17" t="n">
        <x:f>COUNTIFS(Orders!B:B,"&gt;="&amp;A17,Orders!B:B,"&lt;"&amp;EDATE(A17,1),Orders!G:G,"Delivered")</x:f>
        <x:v>30</x:v>
      </x:c>
      <x:c r="E17" t="n">
        <x:f>IFERROR(C17/B17,0)</x:f>
        <x:v>0.19121344341126845</x:v>
      </x:c>
    </x:row>
    <x:row r="18">
      <x:c r="A18" t="n">
        <x:v>46143</x:v>
      </x:c>
      <x:c r="B18" t="n">
        <x:f>SUMIFS(Order_Items!H:H,Order_Items!L:L,"&gt;="&amp;A18,Order_Items!L:L,"&lt;"&amp;EDATE(A18,1))</x:f>
        <x:v>1483185.3700000003</x:v>
      </x:c>
      <x:c r="C18" t="n">
        <x:f>SUMIFS(Order_Items!J:J,Order_Items!L:L,"&gt;="&amp;A18,Order_Items!L:L,"&lt;"&amp;EDATE(A18,1))</x:f>
        <x:v>313579.37</x:v>
      </x:c>
      <x:c r="D18" t="n">
        <x:f>COUNTIFS(Orders!B:B,"&gt;="&amp;A18,Orders!B:B,"&lt;"&amp;EDATE(A18,1),Orders!G:G,"Delivered")</x:f>
        <x:v>21</x:v>
      </x:c>
      <x:c r="E18" t="n">
        <x:f>IFERROR(C18/B18,0)</x:f>
        <x:v>0.2114229120261616</x:v>
      </x:c>
    </x:row>
    <x:row r="19">
      <x:c r="A19" t="n">
        <x:v>46174</x:v>
      </x:c>
      <x:c r="B19" t="n">
        <x:f>SUMIFS(Order_Items!H:H,Order_Items!L:L,"&gt;="&amp;A19,Order_Items!L:L,"&lt;"&amp;EDATE(A19,1))</x:f>
        <x:v>1510909.3200000003</x:v>
      </x:c>
      <x:c r="C19" t="n">
        <x:f>SUMIFS(Order_Items!J:J,Order_Items!L:L,"&gt;="&amp;A19,Order_Items!L:L,"&lt;"&amp;EDATE(A19,1))</x:f>
        <x:v>292568.32</x:v>
      </x:c>
      <x:c r="D19" t="n">
        <x:f>COUNTIFS(Orders!B:B,"&gt;="&amp;A19,Orders!B:B,"&lt;"&amp;EDATE(A19,1),Orders!G:G,"Delivered")</x:f>
        <x:v>13</x:v>
      </x:c>
      <x:c r="E19" t="n">
        <x:f>IFERROR(C19/B19,0)</x:f>
        <x:v>0.19363724621144038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2" t="str">
        <x:v>Region</x:v>
      </x:c>
      <x:c r="B1" s="34" t="str">
        <x:v>Revenue</x:v>
      </x:c>
      <x:c r="C1" s="34" t="str">
        <x:v>Profit</x:v>
      </x:c>
      <x:c r="D1" s="36" t="str">
        <x:v>Margin %</x:v>
      </x:c>
    </x:row>
    <x:row r="2">
      <x:c r="A2" t="str">
        <x:v>South</x:v>
      </x:c>
      <x:c r="B2" t="n">
        <x:f>SUMIFS(Order_Items!H:H,Order_Items!K:K,A2)</x:f>
        <x:v>4860784.469999998</x:v>
      </x:c>
      <x:c r="C2" t="n">
        <x:f>SUMIFS(Order_Items!J:J,Order_Items!K:K,A2)</x:f>
        <x:v>1040966.4700000003</x:v>
      </x:c>
      <x:c r="D2" t="n">
        <x:f>IFERROR(C2/B2,0)</x:f>
        <x:v>0.21415606399022272</x:v>
      </x:c>
    </x:row>
    <x:row r="3">
      <x:c r="A3" t="str">
        <x:v>West</x:v>
      </x:c>
      <x:c r="B3" t="n">
        <x:f>SUMIFS(Order_Items!H:H,Order_Items!K:K,A3)</x:f>
        <x:v>8275841.599999999</x:v>
      </x:c>
      <x:c r="C3" t="n">
        <x:f>SUMIFS(Order_Items!J:J,Order_Items!K:K,A3)</x:f>
        <x:v>1681370.6000000013</x:v>
      </x:c>
      <x:c r="D3" t="n">
        <x:f>IFERROR(C3/B3,0)</x:f>
        <x:v>0.2031661166641954</x:v>
      </x:c>
    </x:row>
    <x:row r="4">
      <x:c r="A4" t="str">
        <x:v>North</x:v>
      </x:c>
      <x:c r="B4" t="n">
        <x:f>SUMIFS(Order_Items!H:H,Order_Items!K:K,A4)</x:f>
        <x:v>9793895.879999995</x:v>
      </x:c>
      <x:c r="C4" t="n">
        <x:f>SUMIFS(Order_Items!J:J,Order_Items!K:K,A4)</x:f>
        <x:v>1967290.8800000008</x:v>
      </x:c>
      <x:c r="D4" t="n">
        <x:f>IFERROR(C4/B4,0)</x:f>
        <x:v>0.20086908254940544</x:v>
      </x:c>
    </x:row>
    <x:row r="5">
      <x:c r="A5" t="str">
        <x:v>East</x:v>
      </x:c>
      <x:c r="B5" t="n">
        <x:f>SUMIFS(Order_Items!H:H,Order_Items!K:K,A5)</x:f>
        <x:v>7436550.580000003</x:v>
      </x:c>
      <x:c r="C5" t="n">
        <x:f>SUMIFS(Order_Items!J:J,Order_Items!K:K,A5)</x:f>
        <x:v>1481350.580000001</x:v>
      </x:c>
      <x:c r="D5" t="n">
        <x:f>IFERROR(C5/B5,0)</x:f>
        <x:v>0.19919861554952276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2" t="str">
        <x:v>Category</x:v>
      </x:c>
      <x:c r="B1" s="22" t="str">
        <x:v>Units</x:v>
      </x:c>
      <x:c r="C1" s="34" t="str">
        <x:v>Revenue</x:v>
      </x:c>
      <x:c r="D1" s="34" t="str">
        <x:v>Profit</x:v>
      </x:c>
      <x:c r="E1" s="36" t="str">
        <x:v>Margin %</x:v>
      </x:c>
    </x:row>
    <x:row r="2">
      <x:c r="A2" t="str">
        <x:v>Accessories</x:v>
      </x:c>
      <x:c r="B2" t="n">
        <x:f>SUMIFS(Order_Items!D:D,Order_Items!M:M,A2)</x:f>
        <x:v>1568</x:v>
      </x:c>
      <x:c r="C2" t="n">
        <x:f>SUMIFS(Order_Items!H:H,Order_Items!M:M,A2)</x:f>
        <x:v>10191883.849999996</x:v>
      </x:c>
      <x:c r="D2" t="n">
        <x:f>SUMIFS(Order_Items!J:J,Order_Items!M:M,A2)</x:f>
        <x:v>2610868.8499999996</x:v>
      </x:c>
      <x:c r="E2" t="n">
        <x:f>IFERROR(D2/C2,0)</x:f>
        <x:v>0.2561713701240817</x:v>
      </x:c>
    </x:row>
    <x:row r="3">
      <x:c r="A3" t="str">
        <x:v>Electronics</x:v>
      </x:c>
      <x:c r="B3" t="n">
        <x:f>SUMIFS(Order_Items!D:D,Order_Items!M:M,A3)</x:f>
        <x:v>1490</x:v>
      </x:c>
      <x:c r="C3" t="n">
        <x:f>SUMIFS(Order_Items!H:H,Order_Items!M:M,A3)</x:f>
        <x:v>8375815.569999992</x:v>
      </x:c>
      <x:c r="D3" t="n">
        <x:f>SUMIFS(Order_Items!J:J,Order_Items!M:M,A3)</x:f>
        <x:v>1336163.5700000015</x:v>
      </x:c>
      <x:c r="E3" t="n">
        <x:f>IFERROR(D3/C3,0)</x:f>
        <x:v>0.15952638388860832</x:v>
      </x:c>
    </x:row>
    <x:row r="4">
      <x:c r="A4" t="str">
        <x:v>Furniture</x:v>
      </x:c>
      <x:c r="B4" t="n">
        <x:f>SUMIFS(Order_Items!D:D,Order_Items!M:M,A4)</x:f>
        <x:v>878</x:v>
      </x:c>
      <x:c r="C4" t="n">
        <x:f>SUMIFS(Order_Items!H:H,Order_Items!M:M,A4)</x:f>
        <x:v>3779842.2100000014</x:v>
      </x:c>
      <x:c r="D4" t="n">
        <x:f>SUMIFS(Order_Items!J:J,Order_Items!M:M,A4)</x:f>
        <x:v>554616.2100000002</x:v>
      </x:c>
      <x:c r="E4" t="n">
        <x:f>IFERROR(D4/C4,0)</x:f>
        <x:v>0.14672999008601473</x:v>
      </x:c>
    </x:row>
    <x:row r="5">
      <x:c r="A5" t="str">
        <x:v>Office Supplies</x:v>
      </x:c>
      <x:c r="B5" t="n">
        <x:f>SUMIFS(Order_Items!D:D,Order_Items!M:M,A5)</x:f>
        <x:v>1461</x:v>
      </x:c>
      <x:c r="C5" t="n">
        <x:f>SUMIFS(Order_Items!H:H,Order_Items!M:M,A5)</x:f>
        <x:v>8019530.900000004</x:v>
      </x:c>
      <x:c r="D5" t="n">
        <x:f>SUMIFS(Order_Items!J:J,Order_Items!M:M,A5)</x:f>
        <x:v>1669329.9000000004</x:v>
      </x:c>
      <x:c r="E5" t="n">
        <x:f>IFERROR(D5/C5,0)</x:f>
        <x:v>0.20815804824693668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2" t="str">
        <x:v>Check</x:v>
      </x:c>
      <x:c r="B1" s="22" t="str">
        <x:v>Logic</x:v>
      </x:c>
      <x:c r="C1" s="22" t="str">
        <x:v>Result</x:v>
      </x:c>
      <x:c r="D1" s="22" t="str">
        <x:v>Interpretation</x:v>
      </x:c>
    </x:row>
    <x:row r="2">
      <x:c r="A2" t="str">
        <x:v>Missing Customer IDs</x:v>
      </x:c>
      <x:c r="B2" t="str">
        <x:v>Orders where customer_id is blank</x:v>
      </x:c>
      <x:c r="C2" t="n">
        <x:f>COUNTBLANK(Orders!C:C)-1</x:f>
        <x:v>-1</x:v>
      </x:c>
      <x:c r="D2" t="str">
        <x:v>Should be 0</x:v>
      </x:c>
    </x:row>
    <x:row r="3">
      <x:c r="A3" t="str">
        <x:v>Missing Product IDs</x:v>
      </x:c>
      <x:c r="B3" t="str">
        <x:v>Order items where product_id is blank</x:v>
      </x:c>
      <x:c r="C3" t="n">
        <x:f>COUNTBLANK(Order_Items!C:C)-1</x:f>
        <x:v>-1</x:v>
      </x:c>
      <x:c r="D3" t="str">
        <x:v>Should be 0</x:v>
      </x:c>
    </x:row>
    <x:row r="4">
      <x:c r="A4" t="str">
        <x:v>Negative Revenue</x:v>
      </x:c>
      <x:c r="B4" t="str">
        <x:v>Net sales less than 0</x:v>
      </x:c>
      <x:c r="C4" t="n">
        <x:f>COUNTIF(Order_Items!H:H,"&lt;0")</x:f>
        <x:v>0</x:v>
      </x:c>
      <x:c r="D4" t="str">
        <x:v>Should be 0</x:v>
      </x:c>
    </x:row>
    <x:row r="5">
      <x:c r="A5" t="str">
        <x:v>Overdue Payments</x:v>
      </x:c>
      <x:c r="B5" t="str">
        <x:v>Payments with status Overdue</x:v>
      </x:c>
      <x:c r="C5" t="n">
        <x:f>COUNTIF(Payments!E:E,"Overdue")</x:f>
        <x:v>45</x:v>
      </x:c>
      <x:c r="D5" t="str">
        <x:v>Review collections</x:v>
      </x:c>
    </x:row>
    <x:row r="6">
      <x:c r="A6" t="str">
        <x:v>Approved Returns Amount</x:v>
      </x:c>
      <x:c r="B6" t="str">
        <x:v>Approved return value</x:v>
      </x:c>
      <x:c r="C6" t="n">
        <x:f>SUMIFS(Returns!E:E,Returns!F:F,"Approved")</x:f>
        <x:v>380658.13</x:v>
      </x:c>
      <x:c r="D6" t="str">
        <x:v>Monitor return leakage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SQL-Based Business Reporting &amp; Excel MIS Dashboard</x:v>
      </x:c>
    </x:row>
    <x:row r="3">
      <x:c r="A3" s="22" t="str">
        <x:v>Total Revenue</x:v>
      </x:c>
      <x:c r="B3" s="22" t="str">
        <x:v>Total Profit</x:v>
      </x:c>
      <x:c r="C3" s="22" t="str">
        <x:v>Margin %</x:v>
      </x:c>
      <x:c r="D3" s="22" t="str">
        <x:v>Delivered Orders</x:v>
      </x:c>
      <x:c r="E3" s="22" t="str">
        <x:v>Return Amount</x:v>
      </x:c>
      <x:c r="F3" s="22" t="str">
        <x:v>Collections</x:v>
      </x:c>
      <x:c r="G3" s="22" t="str">
        <x:v>Outstanding</x:v>
      </x:c>
      <x:c r="H3" s="22" t="str">
        <x:v>Best Region</x:v>
      </x:c>
    </x:row>
    <x:row r="4">
      <x:c r="A4" s="28" t="n">
        <x:f>'SQL_Output_KPIs'!B2</x:f>
        <x:v>30367072.530000016</x:v>
      </x:c>
      <x:c r="B4" s="28" t="n">
        <x:f>'SQL_Output_KPIs'!B3</x:f>
        <x:v>6170978.53</x:v>
      </x:c>
      <x:c r="C4" s="30" t="n">
        <x:f>'SQL_Output_KPIs'!B4</x:f>
        <x:v>0.20321282283313982</x:v>
      </x:c>
      <x:c r="D4" t="n">
        <x:f>'SQL_Output_KPIs'!B5</x:f>
        <x:v>401</x:v>
      </x:c>
      <x:c r="E4" s="28" t="n">
        <x:f>'SQL_Output_KPIs'!B6</x:f>
        <x:v>380658.13</x:v>
      </x:c>
      <x:c r="F4" s="28" t="n">
        <x:f>'SQL_Output_KPIs'!B7</x:f>
        <x:v>24293410.210000005</x:v>
      </x:c>
      <x:c r="G4" s="28" t="n">
        <x:f>'SQL_Output_KPIs'!B8</x:f>
        <x:v>6073662.3200000115</x:v>
      </x:c>
      <x:c r="H4" t="str">
        <x:f>INDEX(SQL_Output_Region!A2:A5,MATCH(MAX(SQL_Output_Region!B2:B5),SQL_Output_Region!B2:B5,0))</x:f>
        <x:v>North</x:v>
      </x:c>
    </x:row>
    <x:row r="6">
      <x:c r="A6" s="22" t="str">
        <x:v>Region</x:v>
      </x:c>
      <x:c r="B6" s="22" t="str">
        <x:v>Revenue</x:v>
      </x:c>
      <x:c r="C6" s="22" t="str">
        <x:v>Profit</x:v>
      </x:c>
      <x:c r="D6" s="22" t="str">
        <x:v>Margin %</x:v>
      </x:c>
      <x:c r="F6" s="22" t="str">
        <x:v>Category</x:v>
      </x:c>
      <x:c r="G6" s="22" t="str">
        <x:v>Units</x:v>
      </x:c>
      <x:c r="H6" s="22" t="str">
        <x:v>Revenue</x:v>
      </x:c>
      <x:c r="I6" s="22" t="str">
        <x:v>Profit</x:v>
      </x:c>
      <x:c r="J6" s="22" t="str">
        <x:v>Margin %</x:v>
      </x:c>
    </x:row>
    <x:row r="7">
      <x:c r="A7" t="str">
        <x:f>SQL_Output_Region!A2</x:f>
        <x:v>South</x:v>
      </x:c>
      <x:c r="B7" t="n">
        <x:f>SQL_Output_Region!B2</x:f>
        <x:v>4860784.469999998</x:v>
      </x:c>
      <x:c r="C7" t="n">
        <x:f>SQL_Output_Region!C2</x:f>
        <x:v>1040966.4700000003</x:v>
      </x:c>
      <x:c r="D7" t="n">
        <x:f>SQL_Output_Region!D2</x:f>
        <x:v>0.21415606399022272</x:v>
      </x:c>
      <x:c r="F7" t="str">
        <x:f>SQL_Output_Product!A2</x:f>
        <x:v>Accessories</x:v>
      </x:c>
      <x:c r="G7" t="n">
        <x:f>SQL_Output_Product!B2</x:f>
        <x:v>1568</x:v>
      </x:c>
      <x:c r="H7" t="n">
        <x:f>SQL_Output_Product!C2</x:f>
        <x:v>10191883.849999996</x:v>
      </x:c>
      <x:c r="I7" t="n">
        <x:f>SQL_Output_Product!D2</x:f>
        <x:v>2610868.8499999996</x:v>
      </x:c>
      <x:c r="J7" t="n">
        <x:f>SQL_Output_Product!E2</x:f>
        <x:v>0.2561713701240817</x:v>
      </x:c>
    </x:row>
    <x:row r="8">
      <x:c r="A8" t="str">
        <x:f>SQL_Output_Region!A3</x:f>
        <x:v>West</x:v>
      </x:c>
      <x:c r="B8" t="n">
        <x:f>SQL_Output_Region!B3</x:f>
        <x:v>8275841.599999999</x:v>
      </x:c>
      <x:c r="C8" t="n">
        <x:f>SQL_Output_Region!C3</x:f>
        <x:v>1681370.6000000013</x:v>
      </x:c>
      <x:c r="D8" t="n">
        <x:f>SQL_Output_Region!D3</x:f>
        <x:v>0.2031661166641954</x:v>
      </x:c>
      <x:c r="F8" t="str">
        <x:f>SQL_Output_Product!A3</x:f>
        <x:v>Electronics</x:v>
      </x:c>
      <x:c r="G8" t="n">
        <x:f>SQL_Output_Product!B3</x:f>
        <x:v>1490</x:v>
      </x:c>
      <x:c r="H8" t="n">
        <x:f>SQL_Output_Product!C3</x:f>
        <x:v>8375815.569999992</x:v>
      </x:c>
      <x:c r="I8" t="n">
        <x:f>SQL_Output_Product!D3</x:f>
        <x:v>1336163.5700000015</x:v>
      </x:c>
      <x:c r="J8" t="n">
        <x:f>SQL_Output_Product!E3</x:f>
        <x:v>0.15952638388860832</x:v>
      </x:c>
    </x:row>
    <x:row r="9">
      <x:c r="A9" t="str">
        <x:f>SQL_Output_Region!A4</x:f>
        <x:v>North</x:v>
      </x:c>
      <x:c r="B9" t="n">
        <x:f>SQL_Output_Region!B4</x:f>
        <x:v>9793895.879999995</x:v>
      </x:c>
      <x:c r="C9" t="n">
        <x:f>SQL_Output_Region!C4</x:f>
        <x:v>1967290.8800000008</x:v>
      </x:c>
      <x:c r="D9" t="n">
        <x:f>SQL_Output_Region!D4</x:f>
        <x:v>0.20086908254940544</x:v>
      </x:c>
      <x:c r="F9" t="str">
        <x:f>SQL_Output_Product!A4</x:f>
        <x:v>Furniture</x:v>
      </x:c>
      <x:c r="G9" t="n">
        <x:f>SQL_Output_Product!B4</x:f>
        <x:v>878</x:v>
      </x:c>
      <x:c r="H9" t="n">
        <x:f>SQL_Output_Product!C4</x:f>
        <x:v>3779842.2100000014</x:v>
      </x:c>
      <x:c r="I9" t="n">
        <x:f>SQL_Output_Product!D4</x:f>
        <x:v>554616.2100000002</x:v>
      </x:c>
      <x:c r="J9" t="n">
        <x:f>SQL_Output_Product!E4</x:f>
        <x:v>0.14672999008601473</x:v>
      </x:c>
    </x:row>
    <x:row r="10">
      <x:c r="A10" t="str">
        <x:f>SQL_Output_Region!A5</x:f>
        <x:v>East</x:v>
      </x:c>
      <x:c r="B10" t="n">
        <x:f>SQL_Output_Region!B5</x:f>
        <x:v>7436550.580000003</x:v>
      </x:c>
      <x:c r="C10" t="n">
        <x:f>SQL_Output_Region!C5</x:f>
        <x:v>1481350.580000001</x:v>
      </x:c>
      <x:c r="D10" t="n">
        <x:f>SQL_Output_Region!D5</x:f>
        <x:v>0.19919861554952276</x:v>
      </x:c>
      <x:c r="F10" t="str">
        <x:f>SQL_Output_Product!A5</x:f>
        <x:v>Office Supplies</x:v>
      </x:c>
      <x:c r="G10" t="n">
        <x:f>SQL_Output_Product!B5</x:f>
        <x:v>1461</x:v>
      </x:c>
      <x:c r="H10" t="n">
        <x:f>SQL_Output_Product!C5</x:f>
        <x:v>8019530.900000004</x:v>
      </x:c>
      <x:c r="I10" t="n">
        <x:f>SQL_Output_Product!D5</x:f>
        <x:v>1669329.9000000004</x:v>
      </x:c>
      <x:c r="J10" t="n">
        <x:f>SQL_Output_Product!E5</x:f>
        <x:v>0.20815804824693668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096ec20a3354222"/>
</x:worksheet>
</file>

<file path=xl/worksheets/sheet1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00" hidden="0" customWidth="1"/>
  </x:cols>
  <x:sheetData>
    <x:row r="1">
      <x:c r="A1" s="22" t="str">
        <x:v>Interview Question</x:v>
      </x:c>
      <x:c r="B1" s="22" t="str">
        <x:v>Strong Answer</x:v>
      </x:c>
    </x:row>
    <x:row r="2">
      <x:c r="A2" t="str">
        <x:v>Where is SQL used?</x:v>
      </x:c>
      <x:c r="B2" t="str">
        <x:v>SQL is used for database schema design and business reporting queries. In this Excel version, SQL is documented in SQL_Schema and SQL_Queries, while output sheets recreate expected SQL results for presentation.</x:v>
      </x:c>
    </x:row>
    <x:row r="3">
      <x:c r="A3" t="str">
        <x:v>Why Excel also?</x:v>
      </x:c>
      <x:c r="B3" t="str">
        <x:v>Many MIS/reporting teams export SQL results into Excel for validation, formatting, dashboards, stakeholder reporting and quick analysis.</x:v>
      </x:c>
    </x:row>
    <x:row r="4">
      <x:c r="A4" t="str">
        <x:v>What business problem did this solve?</x:v>
      </x:c>
      <x:c r="B4" t="str">
        <x:v>It creates a single reporting layer to track revenue, profit, return leakage, collections, region performance and product/category performance.</x:v>
      </x:c>
    </x:row>
    <x:row r="5">
      <x:c r="A5" t="str">
        <x:v>What would you improve in a real company?</x:v>
      </x:c>
      <x:c r="B5" t="str">
        <x:v>Connect Excel or Power BI directly to PostgreSQL/MySQL, schedule refreshes, add stored procedures, create views, and automate email reports.</x:v>
      </x:c>
    </x:row>
    <x:row r="6">
      <x:c r="A6" t="str">
        <x:v>Which SQL concepts are demonstrated?</x:v>
      </x:c>
      <x:c r="B6" t="str">
        <x:v>Joins, aggregation, CASE logic, CTE-style reporting, window functions/ranking, date grouping, data quality checks and KPI calculations.</x:v>
      </x:c>
    </x:row>
  </x:sheetData>
  <x:pageMargins left="0.7" right="0.7" top="0.75" bottom="0.75" header="0.3" footer="0.3"/>
</x:worksheet>
</file>